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0" windowWidth="28800" windowHeight="10425" tabRatio="868"/>
  </bookViews>
  <sheets>
    <sheet name="Day Ahead" sheetId="1" r:id="rId1"/>
    <sheet name="Sheet1" sheetId="2" state="hidden" r:id="rId2"/>
    <sheet name="Sheet2" sheetId="3" state="hidden" r:id="rId3"/>
    <sheet name="Sheet3" sheetId="4" state="hidden" r:id="rId4"/>
    <sheet name="Sheet4" sheetId="5" state="hidden" r:id="rId5"/>
    <sheet name="Sheet5" sheetId="6" state="hidden" r:id="rId6"/>
    <sheet name="Sheet6" sheetId="7" state="hidden" r:id="rId7"/>
    <sheet name="Sheet7" sheetId="8" state="hidden" r:id="rId8"/>
    <sheet name="Sheet8" sheetId="9" state="hidden" r:id="rId9"/>
    <sheet name="Sheet9" sheetId="10" state="hidden" r:id="rId10"/>
    <sheet name="Sheet10" sheetId="11" state="hidden" r:id="rId11"/>
    <sheet name="Sheet11" sheetId="12" state="hidden" r:id="rId12"/>
    <sheet name="Sheet12" sheetId="13" state="hidden" r:id="rId13"/>
    <sheet name="Sheet13" sheetId="14" state="hidden" r:id="rId14"/>
    <sheet name="Sheet14" sheetId="15" state="hidden" r:id="rId15"/>
    <sheet name="Sheet15" sheetId="16" state="hidden" r:id="rId16"/>
    <sheet name="Sheet16" sheetId="17" state="hidden" r:id="rId17"/>
    <sheet name="Sheet17" sheetId="18" state="hidden" r:id="rId18"/>
    <sheet name="Sheet18" sheetId="19" state="hidden" r:id="rId19"/>
    <sheet name="Sheet19" sheetId="20" state="hidden" r:id="rId20"/>
    <sheet name="Sheet20" sheetId="21" state="hidden" r:id="rId21"/>
    <sheet name="Sheet21" sheetId="22" state="hidden" r:id="rId22"/>
    <sheet name="Sheet22" sheetId="23" state="hidden" r:id="rId23"/>
  </sheets>
  <definedNames>
    <definedName name="_xlnm._FilterDatabase" localSheetId="0" hidden="1">'Day Ahead'!#REF!</definedName>
    <definedName name="_xlnm.Print_Area" localSheetId="0">'Day Ahead'!$A$3:$F$57</definedName>
  </definedNames>
  <calcPr calcId="162913"/>
</workbook>
</file>

<file path=xl/calcChain.xml><?xml version="1.0" encoding="utf-8"?>
<calcChain xmlns="http://schemas.openxmlformats.org/spreadsheetml/2006/main">
  <c r="D101" i="1" l="1"/>
  <c r="E101" i="1" l="1"/>
  <c r="B98" i="23"/>
  <c r="A98" i="23"/>
  <c r="C97" i="23"/>
  <c r="D97" i="23" s="1"/>
  <c r="E97" i="23" s="1"/>
  <c r="C96" i="23"/>
  <c r="D96" i="23" s="1"/>
  <c r="E96" i="23" s="1"/>
  <c r="C95" i="23"/>
  <c r="D95" i="23" s="1"/>
  <c r="E95" i="23" s="1"/>
  <c r="C94" i="23"/>
  <c r="D94" i="23" s="1"/>
  <c r="E94" i="23" s="1"/>
  <c r="C93" i="23"/>
  <c r="D93" i="23" s="1"/>
  <c r="E93" i="23" s="1"/>
  <c r="C92" i="23"/>
  <c r="D92" i="23" s="1"/>
  <c r="E92" i="23" s="1"/>
  <c r="C91" i="23"/>
  <c r="D91" i="23" s="1"/>
  <c r="E91" i="23" s="1"/>
  <c r="C90" i="23"/>
  <c r="D90" i="23" s="1"/>
  <c r="E90" i="23" s="1"/>
  <c r="C89" i="23"/>
  <c r="D89" i="23" s="1"/>
  <c r="E89" i="23" s="1"/>
  <c r="C88" i="23"/>
  <c r="D88" i="23" s="1"/>
  <c r="E88" i="23" s="1"/>
  <c r="C87" i="23"/>
  <c r="D87" i="23" s="1"/>
  <c r="E87" i="23" s="1"/>
  <c r="C86" i="23"/>
  <c r="D86" i="23" s="1"/>
  <c r="E86" i="23" s="1"/>
  <c r="C85" i="23"/>
  <c r="D85" i="23" s="1"/>
  <c r="E85" i="23" s="1"/>
  <c r="C84" i="23"/>
  <c r="D84" i="23" s="1"/>
  <c r="E84" i="23" s="1"/>
  <c r="C83" i="23"/>
  <c r="D83" i="23" s="1"/>
  <c r="E83" i="23" s="1"/>
  <c r="C82" i="23"/>
  <c r="D82" i="23" s="1"/>
  <c r="E82" i="23" s="1"/>
  <c r="C81" i="23"/>
  <c r="D81" i="23" s="1"/>
  <c r="E81" i="23" s="1"/>
  <c r="C80" i="23"/>
  <c r="D80" i="23" s="1"/>
  <c r="E80" i="23" s="1"/>
  <c r="C79" i="23"/>
  <c r="D79" i="23" s="1"/>
  <c r="E79" i="23" s="1"/>
  <c r="C78" i="23"/>
  <c r="D78" i="23" s="1"/>
  <c r="E78" i="23" s="1"/>
  <c r="C77" i="23"/>
  <c r="D77" i="23" s="1"/>
  <c r="E77" i="23" s="1"/>
  <c r="C76" i="23"/>
  <c r="D76" i="23" s="1"/>
  <c r="E76" i="23" s="1"/>
  <c r="C75" i="23"/>
  <c r="D75" i="23" s="1"/>
  <c r="E75" i="23" s="1"/>
  <c r="C74" i="23"/>
  <c r="D74" i="23" s="1"/>
  <c r="E74" i="23" s="1"/>
  <c r="C73" i="23"/>
  <c r="D73" i="23" s="1"/>
  <c r="E73" i="23" s="1"/>
  <c r="C72" i="23"/>
  <c r="D72" i="23" s="1"/>
  <c r="E72" i="23" s="1"/>
  <c r="C71" i="23"/>
  <c r="D71" i="23" s="1"/>
  <c r="E71" i="23" s="1"/>
  <c r="C70" i="23"/>
  <c r="D70" i="23" s="1"/>
  <c r="E70" i="23" s="1"/>
  <c r="C69" i="23"/>
  <c r="D69" i="23" s="1"/>
  <c r="E69" i="23" s="1"/>
  <c r="C68" i="23"/>
  <c r="D68" i="23" s="1"/>
  <c r="E68" i="23" s="1"/>
  <c r="C67" i="23"/>
  <c r="D67" i="23" s="1"/>
  <c r="E67" i="23" s="1"/>
  <c r="C66" i="23"/>
  <c r="D66" i="23" s="1"/>
  <c r="E66" i="23" s="1"/>
  <c r="C65" i="23"/>
  <c r="D65" i="23" s="1"/>
  <c r="E65" i="23" s="1"/>
  <c r="C64" i="23"/>
  <c r="D64" i="23" s="1"/>
  <c r="E64" i="23" s="1"/>
  <c r="C63" i="23"/>
  <c r="D63" i="23" s="1"/>
  <c r="E63" i="23" s="1"/>
  <c r="C62" i="23"/>
  <c r="D62" i="23" s="1"/>
  <c r="E62" i="23" s="1"/>
  <c r="C61" i="23"/>
  <c r="D61" i="23" s="1"/>
  <c r="E61" i="23" s="1"/>
  <c r="C60" i="23"/>
  <c r="D60" i="23" s="1"/>
  <c r="E60" i="23" s="1"/>
  <c r="C59" i="23"/>
  <c r="D59" i="23" s="1"/>
  <c r="E59" i="23" s="1"/>
  <c r="C58" i="23"/>
  <c r="D58" i="23" s="1"/>
  <c r="E58" i="23" s="1"/>
  <c r="C57" i="23"/>
  <c r="D57" i="23" s="1"/>
  <c r="E57" i="23" s="1"/>
  <c r="C56" i="23"/>
  <c r="D56" i="23" s="1"/>
  <c r="E56" i="23" s="1"/>
  <c r="C55" i="23"/>
  <c r="D55" i="23" s="1"/>
  <c r="E55" i="23" s="1"/>
  <c r="C54" i="23"/>
  <c r="D54" i="23" s="1"/>
  <c r="E54" i="23" s="1"/>
  <c r="C53" i="23"/>
  <c r="D53" i="23" s="1"/>
  <c r="E53" i="23" s="1"/>
  <c r="C52" i="23"/>
  <c r="D52" i="23" s="1"/>
  <c r="E52" i="23" s="1"/>
  <c r="C51" i="23"/>
  <c r="D51" i="23" s="1"/>
  <c r="E51" i="23" s="1"/>
  <c r="C50" i="23"/>
  <c r="D50" i="23" s="1"/>
  <c r="E50" i="23" s="1"/>
  <c r="C49" i="23"/>
  <c r="D49" i="23" s="1"/>
  <c r="E49" i="23" s="1"/>
  <c r="C48" i="23"/>
  <c r="D48" i="23" s="1"/>
  <c r="E48" i="23" s="1"/>
  <c r="C47" i="23"/>
  <c r="D47" i="23" s="1"/>
  <c r="E47" i="23" s="1"/>
  <c r="C46" i="23"/>
  <c r="D46" i="23" s="1"/>
  <c r="E46" i="23" s="1"/>
  <c r="C45" i="23"/>
  <c r="D45" i="23" s="1"/>
  <c r="E45" i="23" s="1"/>
  <c r="C44" i="23"/>
  <c r="D44" i="23" s="1"/>
  <c r="E44" i="23" s="1"/>
  <c r="C43" i="23"/>
  <c r="D43" i="23" s="1"/>
  <c r="E43" i="23" s="1"/>
  <c r="C42" i="23"/>
  <c r="D42" i="23" s="1"/>
  <c r="E42" i="23" s="1"/>
  <c r="C41" i="23"/>
  <c r="D41" i="23" s="1"/>
  <c r="E41" i="23" s="1"/>
  <c r="C40" i="23"/>
  <c r="D40" i="23" s="1"/>
  <c r="E40" i="23" s="1"/>
  <c r="C39" i="23"/>
  <c r="D39" i="23" s="1"/>
  <c r="E39" i="23" s="1"/>
  <c r="C38" i="23"/>
  <c r="D38" i="23" s="1"/>
  <c r="E38" i="23" s="1"/>
  <c r="C37" i="23"/>
  <c r="D37" i="23" s="1"/>
  <c r="E37" i="23" s="1"/>
  <c r="C36" i="23"/>
  <c r="D36" i="23" s="1"/>
  <c r="E36" i="23" s="1"/>
  <c r="C35" i="23"/>
  <c r="D35" i="23" s="1"/>
  <c r="E35" i="23" s="1"/>
  <c r="C34" i="23"/>
  <c r="D34" i="23" s="1"/>
  <c r="E34" i="23" s="1"/>
  <c r="C33" i="23"/>
  <c r="D33" i="23" s="1"/>
  <c r="E33" i="23" s="1"/>
  <c r="C32" i="23"/>
  <c r="D32" i="23" s="1"/>
  <c r="E32" i="23" s="1"/>
  <c r="C31" i="23"/>
  <c r="D31" i="23" s="1"/>
  <c r="E31" i="23" s="1"/>
  <c r="C30" i="23"/>
  <c r="D30" i="23" s="1"/>
  <c r="E30" i="23" s="1"/>
  <c r="C29" i="23"/>
  <c r="D29" i="23" s="1"/>
  <c r="E29" i="23" s="1"/>
  <c r="C28" i="23"/>
  <c r="D28" i="23" s="1"/>
  <c r="E28" i="23" s="1"/>
  <c r="C27" i="23"/>
  <c r="D27" i="23" s="1"/>
  <c r="E27" i="23" s="1"/>
  <c r="C26" i="23"/>
  <c r="D26" i="23" s="1"/>
  <c r="E26" i="23" s="1"/>
  <c r="C25" i="23"/>
  <c r="D25" i="23" s="1"/>
  <c r="E25" i="23" s="1"/>
  <c r="C24" i="23"/>
  <c r="D24" i="23" s="1"/>
  <c r="E24" i="23" s="1"/>
  <c r="C23" i="23"/>
  <c r="D23" i="23" s="1"/>
  <c r="E23" i="23" s="1"/>
  <c r="C22" i="23"/>
  <c r="D22" i="23" s="1"/>
  <c r="E22" i="23" s="1"/>
  <c r="C21" i="23"/>
  <c r="D21" i="23" s="1"/>
  <c r="E21" i="23" s="1"/>
  <c r="C20" i="23"/>
  <c r="D20" i="23" s="1"/>
  <c r="E20" i="23" s="1"/>
  <c r="C19" i="23"/>
  <c r="D19" i="23" s="1"/>
  <c r="E19" i="23" s="1"/>
  <c r="C18" i="23"/>
  <c r="D18" i="23" s="1"/>
  <c r="E18" i="23" s="1"/>
  <c r="C17" i="23"/>
  <c r="D17" i="23" s="1"/>
  <c r="E17" i="23" s="1"/>
  <c r="C16" i="23"/>
  <c r="D16" i="23" s="1"/>
  <c r="E16" i="23" s="1"/>
  <c r="C15" i="23"/>
  <c r="D15" i="23" s="1"/>
  <c r="E15" i="23" s="1"/>
  <c r="C14" i="23"/>
  <c r="D14" i="23" s="1"/>
  <c r="E14" i="23" s="1"/>
  <c r="C13" i="23"/>
  <c r="D13" i="23" s="1"/>
  <c r="E13" i="23" s="1"/>
  <c r="C12" i="23"/>
  <c r="D12" i="23" s="1"/>
  <c r="E12" i="23" s="1"/>
  <c r="C11" i="23"/>
  <c r="D11" i="23" s="1"/>
  <c r="E11" i="23" s="1"/>
  <c r="C10" i="23"/>
  <c r="D10" i="23" s="1"/>
  <c r="E10" i="23" s="1"/>
  <c r="C9" i="23"/>
  <c r="D9" i="23" s="1"/>
  <c r="E9" i="23" s="1"/>
  <c r="C8" i="23"/>
  <c r="D8" i="23" s="1"/>
  <c r="E8" i="23" s="1"/>
  <c r="C7" i="23"/>
  <c r="D7" i="23" s="1"/>
  <c r="E7" i="23" s="1"/>
  <c r="C6" i="23"/>
  <c r="D6" i="23" s="1"/>
  <c r="E6" i="23" s="1"/>
  <c r="C5" i="23"/>
  <c r="D5" i="23" s="1"/>
  <c r="E5" i="23" s="1"/>
  <c r="C4" i="23"/>
  <c r="D4" i="23" s="1"/>
  <c r="E4" i="23" s="1"/>
  <c r="C3" i="23"/>
  <c r="D3" i="23" s="1"/>
  <c r="C2" i="23"/>
  <c r="D2" i="23" s="1"/>
  <c r="C97" i="22"/>
  <c r="B97" i="22"/>
  <c r="A97" i="22"/>
  <c r="D96" i="22"/>
  <c r="E96" i="22" s="1"/>
  <c r="D95" i="22"/>
  <c r="E95" i="22" s="1"/>
  <c r="D94" i="22"/>
  <c r="E94" i="22" s="1"/>
  <c r="D93" i="22"/>
  <c r="E93" i="22" s="1"/>
  <c r="D92" i="22"/>
  <c r="E92" i="22" s="1"/>
  <c r="D91" i="22"/>
  <c r="E91" i="22" s="1"/>
  <c r="D90" i="22"/>
  <c r="E90" i="22" s="1"/>
  <c r="D89" i="22"/>
  <c r="E89" i="22" s="1"/>
  <c r="D88" i="22"/>
  <c r="E88" i="22" s="1"/>
  <c r="D87" i="22"/>
  <c r="E87" i="22" s="1"/>
  <c r="D86" i="22"/>
  <c r="E86" i="22" s="1"/>
  <c r="D85" i="22"/>
  <c r="E85" i="22" s="1"/>
  <c r="D84" i="22"/>
  <c r="E84" i="22" s="1"/>
  <c r="D83" i="22"/>
  <c r="E83" i="22" s="1"/>
  <c r="D82" i="22"/>
  <c r="E82" i="22" s="1"/>
  <c r="D81" i="22"/>
  <c r="E81" i="22" s="1"/>
  <c r="D80" i="22"/>
  <c r="E80" i="22" s="1"/>
  <c r="D79" i="22"/>
  <c r="E79" i="22" s="1"/>
  <c r="D78" i="22"/>
  <c r="E78" i="22" s="1"/>
  <c r="D77" i="22"/>
  <c r="E77" i="22" s="1"/>
  <c r="D76" i="22"/>
  <c r="E76" i="22" s="1"/>
  <c r="D75" i="22"/>
  <c r="E75" i="22" s="1"/>
  <c r="D74" i="22"/>
  <c r="E74" i="22" s="1"/>
  <c r="D73" i="22"/>
  <c r="E73" i="22" s="1"/>
  <c r="D72" i="22"/>
  <c r="E72" i="22" s="1"/>
  <c r="D71" i="22"/>
  <c r="E71" i="22" s="1"/>
  <c r="D70" i="22"/>
  <c r="E70" i="22" s="1"/>
  <c r="D69" i="22"/>
  <c r="E69" i="22" s="1"/>
  <c r="D68" i="22"/>
  <c r="E68" i="22" s="1"/>
  <c r="D67" i="22"/>
  <c r="E67" i="22" s="1"/>
  <c r="D66" i="22"/>
  <c r="E66" i="22" s="1"/>
  <c r="D65" i="22"/>
  <c r="E65" i="22" s="1"/>
  <c r="D64" i="22"/>
  <c r="E64" i="22" s="1"/>
  <c r="D63" i="22"/>
  <c r="E63" i="22" s="1"/>
  <c r="D62" i="22"/>
  <c r="E62" i="22" s="1"/>
  <c r="D61" i="22"/>
  <c r="E61" i="22" s="1"/>
  <c r="D60" i="22"/>
  <c r="E60" i="22" s="1"/>
  <c r="D59" i="22"/>
  <c r="E59" i="22" s="1"/>
  <c r="D58" i="22"/>
  <c r="E58" i="22" s="1"/>
  <c r="D57" i="22"/>
  <c r="E57" i="22" s="1"/>
  <c r="D56" i="22"/>
  <c r="E56" i="22" s="1"/>
  <c r="D55" i="22"/>
  <c r="E55" i="22" s="1"/>
  <c r="D54" i="22"/>
  <c r="E54" i="22" s="1"/>
  <c r="D53" i="22"/>
  <c r="E53" i="22" s="1"/>
  <c r="D52" i="22"/>
  <c r="E52" i="22" s="1"/>
  <c r="D51" i="22"/>
  <c r="E51" i="22" s="1"/>
  <c r="D50" i="22"/>
  <c r="E50" i="22" s="1"/>
  <c r="D49" i="22"/>
  <c r="E49" i="22" s="1"/>
  <c r="D48" i="22"/>
  <c r="E48" i="22" s="1"/>
  <c r="D47" i="22"/>
  <c r="E47" i="22" s="1"/>
  <c r="D46" i="22"/>
  <c r="E46" i="22" s="1"/>
  <c r="D45" i="22"/>
  <c r="E45" i="22" s="1"/>
  <c r="D44" i="22"/>
  <c r="E44" i="22" s="1"/>
  <c r="D43" i="22"/>
  <c r="E43" i="22" s="1"/>
  <c r="D42" i="22"/>
  <c r="E42" i="22" s="1"/>
  <c r="D41" i="22"/>
  <c r="E41" i="22" s="1"/>
  <c r="D40" i="22"/>
  <c r="E40" i="22" s="1"/>
  <c r="D39" i="22"/>
  <c r="E39" i="22" s="1"/>
  <c r="D38" i="22"/>
  <c r="E38" i="22" s="1"/>
  <c r="D37" i="22"/>
  <c r="E37" i="22" s="1"/>
  <c r="D36" i="22"/>
  <c r="E36" i="22" s="1"/>
  <c r="D35" i="22"/>
  <c r="E35" i="22" s="1"/>
  <c r="D34" i="22"/>
  <c r="E34" i="22" s="1"/>
  <c r="D33" i="22"/>
  <c r="E33" i="22" s="1"/>
  <c r="D32" i="22"/>
  <c r="E32" i="22" s="1"/>
  <c r="D31" i="22"/>
  <c r="E31" i="22" s="1"/>
  <c r="D30" i="22"/>
  <c r="E30" i="22" s="1"/>
  <c r="D29" i="22"/>
  <c r="E29" i="22" s="1"/>
  <c r="D28" i="22"/>
  <c r="E28" i="22" s="1"/>
  <c r="D27" i="22"/>
  <c r="E27" i="22" s="1"/>
  <c r="D26" i="22"/>
  <c r="E26" i="22" s="1"/>
  <c r="D25" i="22"/>
  <c r="E25" i="22" s="1"/>
  <c r="D24" i="22"/>
  <c r="E24" i="22" s="1"/>
  <c r="D23" i="22"/>
  <c r="E23" i="22" s="1"/>
  <c r="D22" i="22"/>
  <c r="E22" i="22" s="1"/>
  <c r="D21" i="22"/>
  <c r="E21" i="22" s="1"/>
  <c r="D20" i="22"/>
  <c r="E20" i="22" s="1"/>
  <c r="D19" i="22"/>
  <c r="E19" i="22" s="1"/>
  <c r="D18" i="22"/>
  <c r="E18" i="22" s="1"/>
  <c r="D17" i="22"/>
  <c r="E17" i="22" s="1"/>
  <c r="D16" i="22"/>
  <c r="E16" i="22" s="1"/>
  <c r="D15" i="22"/>
  <c r="E15" i="22" s="1"/>
  <c r="D14" i="22"/>
  <c r="E14" i="22" s="1"/>
  <c r="D13" i="22"/>
  <c r="E13" i="22" s="1"/>
  <c r="D12" i="22"/>
  <c r="E12" i="22" s="1"/>
  <c r="D11" i="22"/>
  <c r="E11" i="22" s="1"/>
  <c r="D10" i="22"/>
  <c r="E10" i="22" s="1"/>
  <c r="D9" i="22"/>
  <c r="E9" i="22" s="1"/>
  <c r="D8" i="22"/>
  <c r="E8" i="22" s="1"/>
  <c r="D7" i="22"/>
  <c r="E7" i="22" s="1"/>
  <c r="D6" i="22"/>
  <c r="E6" i="22" s="1"/>
  <c r="D5" i="22"/>
  <c r="E5" i="22" s="1"/>
  <c r="D4" i="22"/>
  <c r="E4" i="22" s="1"/>
  <c r="D3" i="22"/>
  <c r="E3" i="22" s="1"/>
  <c r="D2" i="22"/>
  <c r="E2" i="22" s="1"/>
  <c r="D1" i="22"/>
  <c r="D162" i="21"/>
  <c r="E162" i="21" s="1"/>
  <c r="D163" i="21"/>
  <c r="E163" i="21" s="1"/>
  <c r="D164" i="21"/>
  <c r="E164" i="21" s="1"/>
  <c r="D165" i="21"/>
  <c r="E165" i="21" s="1"/>
  <c r="D166" i="21"/>
  <c r="E166" i="21" s="1"/>
  <c r="D167" i="21"/>
  <c r="E167" i="21" s="1"/>
  <c r="D168" i="21"/>
  <c r="E168" i="21" s="1"/>
  <c r="D169" i="21"/>
  <c r="E169" i="21" s="1"/>
  <c r="D170" i="21"/>
  <c r="E170" i="21" s="1"/>
  <c r="D171" i="21"/>
  <c r="E171" i="21" s="1"/>
  <c r="D172" i="21"/>
  <c r="E172" i="21" s="1"/>
  <c r="D173" i="21"/>
  <c r="E173" i="21" s="1"/>
  <c r="D174" i="21"/>
  <c r="E174" i="21" s="1"/>
  <c r="D175" i="21"/>
  <c r="E175" i="21" s="1"/>
  <c r="D176" i="21"/>
  <c r="E176" i="21" s="1"/>
  <c r="D177" i="21"/>
  <c r="E177" i="21" s="1"/>
  <c r="D178" i="21"/>
  <c r="E178" i="21" s="1"/>
  <c r="D179" i="21"/>
  <c r="E179" i="21" s="1"/>
  <c r="D180" i="21"/>
  <c r="E180" i="21" s="1"/>
  <c r="D181" i="21"/>
  <c r="E181" i="21" s="1"/>
  <c r="D182" i="21"/>
  <c r="E182" i="21" s="1"/>
  <c r="D183" i="21"/>
  <c r="E183" i="21" s="1"/>
  <c r="D184" i="21"/>
  <c r="E184" i="21" s="1"/>
  <c r="D185" i="21"/>
  <c r="E185" i="21" s="1"/>
  <c r="D186" i="21"/>
  <c r="E186" i="21" s="1"/>
  <c r="D187" i="21"/>
  <c r="E187" i="21" s="1"/>
  <c r="D188" i="21"/>
  <c r="E188" i="21" s="1"/>
  <c r="D189" i="21"/>
  <c r="E189" i="21" s="1"/>
  <c r="D190" i="21"/>
  <c r="E190" i="21" s="1"/>
  <c r="D191" i="21"/>
  <c r="E191" i="21" s="1"/>
  <c r="D192" i="21"/>
  <c r="E192" i="21" s="1"/>
  <c r="D193" i="21"/>
  <c r="E193" i="21" s="1"/>
  <c r="D194" i="21"/>
  <c r="E194" i="21" s="1"/>
  <c r="D195" i="21"/>
  <c r="E195" i="21" s="1"/>
  <c r="D196" i="21"/>
  <c r="E196" i="21" s="1"/>
  <c r="D197" i="21"/>
  <c r="E197" i="21" s="1"/>
  <c r="D198" i="21"/>
  <c r="E198" i="21" s="1"/>
  <c r="D199" i="21"/>
  <c r="E199" i="21" s="1"/>
  <c r="D200" i="21"/>
  <c r="E200" i="21" s="1"/>
  <c r="D201" i="21"/>
  <c r="E201" i="21" s="1"/>
  <c r="D202" i="21"/>
  <c r="E202" i="21" s="1"/>
  <c r="D203" i="21"/>
  <c r="E203" i="21" s="1"/>
  <c r="D204" i="21"/>
  <c r="E204" i="21" s="1"/>
  <c r="D205" i="21"/>
  <c r="E205" i="21" s="1"/>
  <c r="D206" i="21"/>
  <c r="E206" i="21" s="1"/>
  <c r="D207" i="21"/>
  <c r="E207" i="21" s="1"/>
  <c r="D208" i="21"/>
  <c r="E208" i="21" s="1"/>
  <c r="D209" i="21"/>
  <c r="E209" i="21" s="1"/>
  <c r="D210" i="21"/>
  <c r="E210" i="21" s="1"/>
  <c r="D211" i="21"/>
  <c r="E211" i="21" s="1"/>
  <c r="D212" i="21"/>
  <c r="E212" i="21" s="1"/>
  <c r="D213" i="21"/>
  <c r="E213" i="21" s="1"/>
  <c r="D214" i="21"/>
  <c r="E214" i="21" s="1"/>
  <c r="D215" i="21"/>
  <c r="E215" i="21" s="1"/>
  <c r="D216" i="21"/>
  <c r="E216" i="21" s="1"/>
  <c r="D217" i="21"/>
  <c r="E217" i="21" s="1"/>
  <c r="D218" i="21"/>
  <c r="E218" i="21" s="1"/>
  <c r="D219" i="21"/>
  <c r="E219" i="21" s="1"/>
  <c r="D220" i="21"/>
  <c r="E220" i="21" s="1"/>
  <c r="D221" i="21"/>
  <c r="E221" i="21" s="1"/>
  <c r="D222" i="21"/>
  <c r="E222" i="21" s="1"/>
  <c r="D223" i="21"/>
  <c r="E223" i="21" s="1"/>
  <c r="D224" i="21"/>
  <c r="E224" i="21" s="1"/>
  <c r="D225" i="21"/>
  <c r="E225" i="21" s="1"/>
  <c r="D226" i="21"/>
  <c r="E226" i="21" s="1"/>
  <c r="D227" i="21"/>
  <c r="E227" i="21" s="1"/>
  <c r="D228" i="21"/>
  <c r="E228" i="21" s="1"/>
  <c r="D229" i="21"/>
  <c r="E229" i="21" s="1"/>
  <c r="D230" i="21"/>
  <c r="E230" i="21" s="1"/>
  <c r="D231" i="21"/>
  <c r="E231" i="21" s="1"/>
  <c r="D232" i="21"/>
  <c r="E232" i="21" s="1"/>
  <c r="D233" i="21"/>
  <c r="E233" i="21" s="1"/>
  <c r="D234" i="21"/>
  <c r="E234" i="21" s="1"/>
  <c r="D235" i="21"/>
  <c r="E235" i="21" s="1"/>
  <c r="D236" i="21"/>
  <c r="E236" i="21" s="1"/>
  <c r="D237" i="21"/>
  <c r="E237" i="21" s="1"/>
  <c r="D238" i="21"/>
  <c r="E238" i="21" s="1"/>
  <c r="D239" i="21"/>
  <c r="E239" i="21" s="1"/>
  <c r="D240" i="21"/>
  <c r="E240" i="21" s="1"/>
  <c r="D241" i="21"/>
  <c r="E241" i="21" s="1"/>
  <c r="D242" i="21"/>
  <c r="E242" i="21" s="1"/>
  <c r="D243" i="21"/>
  <c r="E243" i="21" s="1"/>
  <c r="D244" i="21"/>
  <c r="E244" i="21" s="1"/>
  <c r="D245" i="21"/>
  <c r="E245" i="21" s="1"/>
  <c r="D246" i="21"/>
  <c r="E246" i="21" s="1"/>
  <c r="D247" i="21"/>
  <c r="E247" i="21" s="1"/>
  <c r="D248" i="21"/>
  <c r="E248" i="21" s="1"/>
  <c r="D249" i="21"/>
  <c r="E249" i="21" s="1"/>
  <c r="D250" i="21"/>
  <c r="E250" i="21" s="1"/>
  <c r="D251" i="21"/>
  <c r="E251" i="21" s="1"/>
  <c r="D252" i="21"/>
  <c r="E252" i="21" s="1"/>
  <c r="D253" i="21"/>
  <c r="E253" i="21" s="1"/>
  <c r="D254" i="21"/>
  <c r="E254" i="21" s="1"/>
  <c r="D255" i="21"/>
  <c r="E255" i="21" s="1"/>
  <c r="D256" i="21"/>
  <c r="E256" i="21" s="1"/>
  <c r="D257" i="21"/>
  <c r="E257" i="21" s="1"/>
  <c r="A258" i="21"/>
  <c r="B258" i="21"/>
  <c r="C258" i="21"/>
  <c r="C98" i="20"/>
  <c r="B98" i="20"/>
  <c r="A98" i="20"/>
  <c r="D97" i="20"/>
  <c r="E97" i="20" s="1"/>
  <c r="D96" i="20"/>
  <c r="E96" i="20" s="1"/>
  <c r="D95" i="20"/>
  <c r="E95" i="20" s="1"/>
  <c r="D94" i="20"/>
  <c r="E94" i="20" s="1"/>
  <c r="D93" i="20"/>
  <c r="E93" i="20" s="1"/>
  <c r="D92" i="20"/>
  <c r="E92" i="20" s="1"/>
  <c r="D91" i="20"/>
  <c r="E91" i="20" s="1"/>
  <c r="D90" i="20"/>
  <c r="E90" i="20" s="1"/>
  <c r="D89" i="20"/>
  <c r="E89" i="20" s="1"/>
  <c r="D88" i="20"/>
  <c r="E88" i="20" s="1"/>
  <c r="D87" i="20"/>
  <c r="E87" i="20" s="1"/>
  <c r="D86" i="20"/>
  <c r="E86" i="20" s="1"/>
  <c r="D85" i="20"/>
  <c r="E85" i="20" s="1"/>
  <c r="D84" i="20"/>
  <c r="E84" i="20" s="1"/>
  <c r="D83" i="20"/>
  <c r="E83" i="20" s="1"/>
  <c r="D82" i="20"/>
  <c r="E82" i="20" s="1"/>
  <c r="D81" i="20"/>
  <c r="E81" i="20" s="1"/>
  <c r="D80" i="20"/>
  <c r="E80" i="20" s="1"/>
  <c r="D79" i="20"/>
  <c r="E79" i="20" s="1"/>
  <c r="D78" i="20"/>
  <c r="E78" i="20" s="1"/>
  <c r="D77" i="20"/>
  <c r="E77" i="20" s="1"/>
  <c r="D76" i="20"/>
  <c r="E76" i="20" s="1"/>
  <c r="D75" i="20"/>
  <c r="E75" i="20" s="1"/>
  <c r="D74" i="20"/>
  <c r="E74" i="20" s="1"/>
  <c r="D73" i="20"/>
  <c r="E73" i="20" s="1"/>
  <c r="D72" i="20"/>
  <c r="E72" i="20" s="1"/>
  <c r="D71" i="20"/>
  <c r="E71" i="20" s="1"/>
  <c r="D70" i="20"/>
  <c r="E70" i="20" s="1"/>
  <c r="D69" i="20"/>
  <c r="E69" i="20" s="1"/>
  <c r="D68" i="20"/>
  <c r="E68" i="20" s="1"/>
  <c r="D67" i="20"/>
  <c r="E67" i="20" s="1"/>
  <c r="D66" i="20"/>
  <c r="E66" i="20" s="1"/>
  <c r="D65" i="20"/>
  <c r="E65" i="20" s="1"/>
  <c r="D64" i="20"/>
  <c r="E64" i="20" s="1"/>
  <c r="D63" i="20"/>
  <c r="E63" i="20" s="1"/>
  <c r="D62" i="20"/>
  <c r="E62" i="20" s="1"/>
  <c r="D61" i="20"/>
  <c r="E61" i="20" s="1"/>
  <c r="D60" i="20"/>
  <c r="E60" i="20" s="1"/>
  <c r="D59" i="20"/>
  <c r="E59" i="20" s="1"/>
  <c r="D58" i="20"/>
  <c r="E58" i="20" s="1"/>
  <c r="D57" i="20"/>
  <c r="E57" i="20" s="1"/>
  <c r="D56" i="20"/>
  <c r="E56" i="20" s="1"/>
  <c r="D55" i="20"/>
  <c r="E55" i="20" s="1"/>
  <c r="D54" i="20"/>
  <c r="E54" i="20" s="1"/>
  <c r="D53" i="20"/>
  <c r="E53" i="20" s="1"/>
  <c r="D52" i="20"/>
  <c r="E52" i="20" s="1"/>
  <c r="D51" i="20"/>
  <c r="E51" i="20" s="1"/>
  <c r="D50" i="20"/>
  <c r="E50" i="20" s="1"/>
  <c r="D49" i="20"/>
  <c r="E49" i="20" s="1"/>
  <c r="D48" i="20"/>
  <c r="E48" i="20" s="1"/>
  <c r="D47" i="20"/>
  <c r="E47" i="20" s="1"/>
  <c r="D46" i="20"/>
  <c r="E46" i="20" s="1"/>
  <c r="D45" i="20"/>
  <c r="E45" i="20" s="1"/>
  <c r="D44" i="20"/>
  <c r="E44" i="20" s="1"/>
  <c r="D43" i="20"/>
  <c r="E43" i="20" s="1"/>
  <c r="D42" i="20"/>
  <c r="E42" i="20" s="1"/>
  <c r="D41" i="20"/>
  <c r="E41" i="20" s="1"/>
  <c r="D40" i="20"/>
  <c r="E40" i="20" s="1"/>
  <c r="D39" i="20"/>
  <c r="E39" i="20" s="1"/>
  <c r="D38" i="20"/>
  <c r="E38" i="20" s="1"/>
  <c r="D37" i="20"/>
  <c r="E37" i="20" s="1"/>
  <c r="D36" i="20"/>
  <c r="E36" i="20" s="1"/>
  <c r="D35" i="20"/>
  <c r="E35" i="20" s="1"/>
  <c r="D34" i="20"/>
  <c r="E34" i="20" s="1"/>
  <c r="D33" i="20"/>
  <c r="E33" i="20" s="1"/>
  <c r="D32" i="20"/>
  <c r="E32" i="20" s="1"/>
  <c r="D31" i="20"/>
  <c r="E31" i="20" s="1"/>
  <c r="D30" i="20"/>
  <c r="E30" i="20" s="1"/>
  <c r="D29" i="20"/>
  <c r="E29" i="20" s="1"/>
  <c r="D28" i="20"/>
  <c r="E28" i="20" s="1"/>
  <c r="D27" i="20"/>
  <c r="E27" i="20" s="1"/>
  <c r="D26" i="20"/>
  <c r="E26" i="20" s="1"/>
  <c r="D25" i="20"/>
  <c r="E25" i="20" s="1"/>
  <c r="D24" i="20"/>
  <c r="E24" i="20" s="1"/>
  <c r="D23" i="20"/>
  <c r="E23" i="20" s="1"/>
  <c r="D22" i="20"/>
  <c r="E22" i="20" s="1"/>
  <c r="D21" i="20"/>
  <c r="E21" i="20" s="1"/>
  <c r="D20" i="20"/>
  <c r="E20" i="20" s="1"/>
  <c r="D19" i="20"/>
  <c r="E19" i="20" s="1"/>
  <c r="D18" i="20"/>
  <c r="E18" i="20" s="1"/>
  <c r="D17" i="20"/>
  <c r="E17" i="20" s="1"/>
  <c r="D16" i="20"/>
  <c r="E16" i="20" s="1"/>
  <c r="D15" i="20"/>
  <c r="E15" i="20" s="1"/>
  <c r="D14" i="20"/>
  <c r="E14" i="20" s="1"/>
  <c r="D13" i="20"/>
  <c r="E13" i="20" s="1"/>
  <c r="D12" i="20"/>
  <c r="E12" i="20" s="1"/>
  <c r="D11" i="20"/>
  <c r="E11" i="20" s="1"/>
  <c r="D10" i="20"/>
  <c r="E10" i="20" s="1"/>
  <c r="D9" i="20"/>
  <c r="E9" i="20" s="1"/>
  <c r="D8" i="20"/>
  <c r="E8" i="20" s="1"/>
  <c r="D7" i="20"/>
  <c r="E7" i="20" s="1"/>
  <c r="D6" i="20"/>
  <c r="E6" i="20" s="1"/>
  <c r="D5" i="20"/>
  <c r="E5" i="20" s="1"/>
  <c r="D4" i="20"/>
  <c r="E4" i="20" s="1"/>
  <c r="D3" i="20"/>
  <c r="E3" i="20" s="1"/>
  <c r="D2" i="20"/>
  <c r="E2" i="20" s="1"/>
  <c r="E99" i="19"/>
  <c r="D99" i="19"/>
  <c r="C99" i="19"/>
  <c r="B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G98" i="2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97" i="18"/>
  <c r="A97" i="18"/>
  <c r="B96" i="18"/>
  <c r="E96" i="18" s="1"/>
  <c r="F96" i="18" s="1"/>
  <c r="B95" i="18"/>
  <c r="E95" i="18" s="1"/>
  <c r="F95" i="18" s="1"/>
  <c r="B94" i="18"/>
  <c r="E94" i="18" s="1"/>
  <c r="F94" i="18" s="1"/>
  <c r="B93" i="18"/>
  <c r="E93" i="18" s="1"/>
  <c r="F93" i="18" s="1"/>
  <c r="B92" i="18"/>
  <c r="E92" i="18" s="1"/>
  <c r="F92" i="18" s="1"/>
  <c r="B91" i="18"/>
  <c r="E91" i="18" s="1"/>
  <c r="F91" i="18" s="1"/>
  <c r="B90" i="18"/>
  <c r="E90" i="18" s="1"/>
  <c r="F90" i="18" s="1"/>
  <c r="B89" i="18"/>
  <c r="E89" i="18" s="1"/>
  <c r="F89" i="18" s="1"/>
  <c r="B88" i="18"/>
  <c r="E88" i="18" s="1"/>
  <c r="F88" i="18" s="1"/>
  <c r="B87" i="18"/>
  <c r="E87" i="18" s="1"/>
  <c r="F87" i="18" s="1"/>
  <c r="B86" i="18"/>
  <c r="E86" i="18" s="1"/>
  <c r="F86" i="18" s="1"/>
  <c r="B85" i="18"/>
  <c r="E85" i="18" s="1"/>
  <c r="F85" i="18" s="1"/>
  <c r="B84" i="18"/>
  <c r="E84" i="18" s="1"/>
  <c r="F84" i="18" s="1"/>
  <c r="B83" i="18"/>
  <c r="E83" i="18" s="1"/>
  <c r="F83" i="18" s="1"/>
  <c r="B82" i="18"/>
  <c r="E82" i="18" s="1"/>
  <c r="F82" i="18" s="1"/>
  <c r="B81" i="18"/>
  <c r="E81" i="18" s="1"/>
  <c r="F81" i="18" s="1"/>
  <c r="B80" i="18"/>
  <c r="E80" i="18" s="1"/>
  <c r="F80" i="18" s="1"/>
  <c r="B79" i="18"/>
  <c r="E79" i="18" s="1"/>
  <c r="F79" i="18" s="1"/>
  <c r="B78" i="18"/>
  <c r="C78" i="18" s="1"/>
  <c r="E78" i="18" s="1"/>
  <c r="F78" i="18" s="1"/>
  <c r="B77" i="18"/>
  <c r="C77" i="18" s="1"/>
  <c r="E77" i="18" s="1"/>
  <c r="F77" i="18" s="1"/>
  <c r="B76" i="18"/>
  <c r="C76" i="18" s="1"/>
  <c r="E76" i="18" s="1"/>
  <c r="F76" i="18" s="1"/>
  <c r="B75" i="18"/>
  <c r="C75" i="18" s="1"/>
  <c r="E75" i="18" s="1"/>
  <c r="F75" i="18" s="1"/>
  <c r="B74" i="18"/>
  <c r="C74" i="18" s="1"/>
  <c r="E74" i="18" s="1"/>
  <c r="F74" i="18" s="1"/>
  <c r="B73" i="18"/>
  <c r="C73" i="18" s="1"/>
  <c r="E73" i="18" s="1"/>
  <c r="F73" i="18" s="1"/>
  <c r="B72" i="18"/>
  <c r="C72" i="18" s="1"/>
  <c r="E72" i="18" s="1"/>
  <c r="F72" i="18" s="1"/>
  <c r="B71" i="18"/>
  <c r="C71" i="18" s="1"/>
  <c r="E71" i="18" s="1"/>
  <c r="F71" i="18" s="1"/>
  <c r="B70" i="18"/>
  <c r="C70" i="18" s="1"/>
  <c r="B69" i="18"/>
  <c r="C69" i="18" s="1"/>
  <c r="B68" i="18"/>
  <c r="B67" i="18"/>
  <c r="C67" i="18" s="1"/>
  <c r="E67" i="18" s="1"/>
  <c r="F67" i="18" s="1"/>
  <c r="B66" i="18"/>
  <c r="B65" i="18"/>
  <c r="E65" i="18" s="1"/>
  <c r="F65" i="18" s="1"/>
  <c r="B64" i="18"/>
  <c r="E64" i="18" s="1"/>
  <c r="F64" i="18" s="1"/>
  <c r="B63" i="18"/>
  <c r="E63" i="18" s="1"/>
  <c r="F63" i="18" s="1"/>
  <c r="B62" i="18"/>
  <c r="E62" i="18" s="1"/>
  <c r="F62" i="18" s="1"/>
  <c r="B61" i="18"/>
  <c r="E61" i="18" s="1"/>
  <c r="F61" i="18" s="1"/>
  <c r="B60" i="18"/>
  <c r="E60" i="18" s="1"/>
  <c r="F60" i="18" s="1"/>
  <c r="B59" i="18"/>
  <c r="E59" i="18" s="1"/>
  <c r="F59" i="18" s="1"/>
  <c r="B58" i="18"/>
  <c r="E58" i="18" s="1"/>
  <c r="F58" i="18" s="1"/>
  <c r="B57" i="18"/>
  <c r="E57" i="18" s="1"/>
  <c r="F57" i="18" s="1"/>
  <c r="B56" i="18"/>
  <c r="E56" i="18" s="1"/>
  <c r="F56" i="18" s="1"/>
  <c r="B55" i="18"/>
  <c r="E55" i="18" s="1"/>
  <c r="F55" i="18" s="1"/>
  <c r="B54" i="18"/>
  <c r="E54" i="18" s="1"/>
  <c r="F54" i="18" s="1"/>
  <c r="B53" i="18"/>
  <c r="E53" i="18" s="1"/>
  <c r="F53" i="18" s="1"/>
  <c r="B52" i="18"/>
  <c r="E52" i="18" s="1"/>
  <c r="F52" i="18" s="1"/>
  <c r="B51" i="18"/>
  <c r="E51" i="18" s="1"/>
  <c r="F51" i="18" s="1"/>
  <c r="B50" i="18"/>
  <c r="E50" i="18" s="1"/>
  <c r="F50" i="18" s="1"/>
  <c r="B49" i="18"/>
  <c r="E49" i="18" s="1"/>
  <c r="F49" i="18" s="1"/>
  <c r="B48" i="18"/>
  <c r="E48" i="18" s="1"/>
  <c r="F48" i="18" s="1"/>
  <c r="B47" i="18"/>
  <c r="E47" i="18" s="1"/>
  <c r="F47" i="18" s="1"/>
  <c r="B46" i="18"/>
  <c r="E46" i="18" s="1"/>
  <c r="F46" i="18" s="1"/>
  <c r="B45" i="18"/>
  <c r="E45" i="18" s="1"/>
  <c r="F45" i="18" s="1"/>
  <c r="B44" i="18"/>
  <c r="E44" i="18" s="1"/>
  <c r="F44" i="18" s="1"/>
  <c r="B43" i="18"/>
  <c r="E43" i="18" s="1"/>
  <c r="F43" i="18" s="1"/>
  <c r="B42" i="18"/>
  <c r="E42" i="18" s="1"/>
  <c r="F42" i="18" s="1"/>
  <c r="B41" i="18"/>
  <c r="E41" i="18" s="1"/>
  <c r="F41" i="18" s="1"/>
  <c r="B40" i="18"/>
  <c r="E40" i="18" s="1"/>
  <c r="F40" i="18" s="1"/>
  <c r="B39" i="18"/>
  <c r="E39" i="18" s="1"/>
  <c r="F39" i="18" s="1"/>
  <c r="B38" i="18"/>
  <c r="E38" i="18" s="1"/>
  <c r="F38" i="18" s="1"/>
  <c r="B37" i="18"/>
  <c r="E37" i="18" s="1"/>
  <c r="F37" i="18" s="1"/>
  <c r="B36" i="18"/>
  <c r="E36" i="18" s="1"/>
  <c r="F36" i="18" s="1"/>
  <c r="B35" i="18"/>
  <c r="E35" i="18" s="1"/>
  <c r="F35" i="18" s="1"/>
  <c r="B34" i="18"/>
  <c r="E34" i="18" s="1"/>
  <c r="F34" i="18" s="1"/>
  <c r="B33" i="18"/>
  <c r="E33" i="18" s="1"/>
  <c r="F33" i="18" s="1"/>
  <c r="B32" i="18"/>
  <c r="E32" i="18" s="1"/>
  <c r="F32" i="18" s="1"/>
  <c r="B31" i="18"/>
  <c r="E31" i="18" s="1"/>
  <c r="F31" i="18" s="1"/>
  <c r="B30" i="18"/>
  <c r="E30" i="18" s="1"/>
  <c r="F30" i="18" s="1"/>
  <c r="B29" i="18"/>
  <c r="E29" i="18" s="1"/>
  <c r="F29" i="18" s="1"/>
  <c r="B28" i="18"/>
  <c r="E28" i="18" s="1"/>
  <c r="F28" i="18" s="1"/>
  <c r="B27" i="18"/>
  <c r="E27" i="18" s="1"/>
  <c r="F27" i="18" s="1"/>
  <c r="B26" i="18"/>
  <c r="E26" i="18" s="1"/>
  <c r="F26" i="18" s="1"/>
  <c r="B25" i="18"/>
  <c r="E25" i="18" s="1"/>
  <c r="F25" i="18" s="1"/>
  <c r="B24" i="18"/>
  <c r="E24" i="18" s="1"/>
  <c r="F24" i="18" s="1"/>
  <c r="B23" i="18"/>
  <c r="E23" i="18" s="1"/>
  <c r="F23" i="18" s="1"/>
  <c r="B22" i="18"/>
  <c r="E22" i="18" s="1"/>
  <c r="F22" i="18" s="1"/>
  <c r="B21" i="18"/>
  <c r="E21" i="18" s="1"/>
  <c r="F21" i="18" s="1"/>
  <c r="B20" i="18"/>
  <c r="E20" i="18" s="1"/>
  <c r="F20" i="18" s="1"/>
  <c r="B19" i="18"/>
  <c r="E19" i="18" s="1"/>
  <c r="F19" i="18" s="1"/>
  <c r="B18" i="18"/>
  <c r="E18" i="18" s="1"/>
  <c r="F18" i="18" s="1"/>
  <c r="B17" i="18"/>
  <c r="E17" i="18" s="1"/>
  <c r="F17" i="18" s="1"/>
  <c r="B16" i="18"/>
  <c r="E16" i="18" s="1"/>
  <c r="F16" i="18" s="1"/>
  <c r="B15" i="18"/>
  <c r="E15" i="18" s="1"/>
  <c r="F15" i="18" s="1"/>
  <c r="B14" i="18"/>
  <c r="E14" i="18" s="1"/>
  <c r="F14" i="18" s="1"/>
  <c r="B13" i="18"/>
  <c r="E13" i="18" s="1"/>
  <c r="F13" i="18" s="1"/>
  <c r="B12" i="18"/>
  <c r="E12" i="18" s="1"/>
  <c r="F12" i="18" s="1"/>
  <c r="B11" i="18"/>
  <c r="E11" i="18" s="1"/>
  <c r="F11" i="18" s="1"/>
  <c r="B10" i="18"/>
  <c r="E10" i="18" s="1"/>
  <c r="F10" i="18" s="1"/>
  <c r="B9" i="18"/>
  <c r="E9" i="18" s="1"/>
  <c r="F9" i="18" s="1"/>
  <c r="B8" i="18"/>
  <c r="E8" i="18" s="1"/>
  <c r="F8" i="18" s="1"/>
  <c r="B7" i="18"/>
  <c r="E7" i="18" s="1"/>
  <c r="F7" i="18" s="1"/>
  <c r="B6" i="18"/>
  <c r="E6" i="18" s="1"/>
  <c r="F6" i="18" s="1"/>
  <c r="B5" i="18"/>
  <c r="E5" i="18" s="1"/>
  <c r="F5" i="18" s="1"/>
  <c r="B4" i="18"/>
  <c r="E4" i="18" s="1"/>
  <c r="F4" i="18" s="1"/>
  <c r="B3" i="18"/>
  <c r="E3" i="18" s="1"/>
  <c r="F3" i="18" s="1"/>
  <c r="B2" i="18"/>
  <c r="E2" i="18" s="1"/>
  <c r="F2" i="18" s="1"/>
  <c r="B1" i="18"/>
  <c r="E1" i="18" s="1"/>
  <c r="F1" i="18" s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3" i="17"/>
  <c r="E99" i="17"/>
  <c r="G28" i="17"/>
  <c r="H28" i="17" s="1"/>
  <c r="G29" i="17"/>
  <c r="H29" i="17" s="1"/>
  <c r="G30" i="17"/>
  <c r="H30" i="17" s="1"/>
  <c r="G31" i="17"/>
  <c r="H31" i="17" s="1"/>
  <c r="G32" i="17"/>
  <c r="H32" i="17" s="1"/>
  <c r="G33" i="17"/>
  <c r="H33" i="17" s="1"/>
  <c r="G34" i="17"/>
  <c r="H34" i="17" s="1"/>
  <c r="G35" i="17"/>
  <c r="H35" i="17" s="1"/>
  <c r="G36" i="17"/>
  <c r="H36" i="17" s="1"/>
  <c r="G37" i="17"/>
  <c r="H37" i="17" s="1"/>
  <c r="G38" i="17"/>
  <c r="H38" i="17" s="1"/>
  <c r="G39" i="17"/>
  <c r="H39" i="17" s="1"/>
  <c r="G40" i="17"/>
  <c r="H40" i="17" s="1"/>
  <c r="G41" i="17"/>
  <c r="H41" i="17" s="1"/>
  <c r="G42" i="17"/>
  <c r="H42" i="17" s="1"/>
  <c r="G43" i="17"/>
  <c r="H43" i="17" s="1"/>
  <c r="G44" i="17"/>
  <c r="H44" i="17" s="1"/>
  <c r="G45" i="17"/>
  <c r="H45" i="17" s="1"/>
  <c r="G46" i="17"/>
  <c r="H46" i="17" s="1"/>
  <c r="G47" i="17"/>
  <c r="H47" i="17" s="1"/>
  <c r="G48" i="17"/>
  <c r="H48" i="17" s="1"/>
  <c r="G49" i="17"/>
  <c r="H49" i="17" s="1"/>
  <c r="G50" i="17"/>
  <c r="H50" i="17" s="1"/>
  <c r="G51" i="17"/>
  <c r="H51" i="17" s="1"/>
  <c r="G52" i="17"/>
  <c r="H52" i="17" s="1"/>
  <c r="G53" i="17"/>
  <c r="H53" i="17" s="1"/>
  <c r="G54" i="17"/>
  <c r="H54" i="17" s="1"/>
  <c r="G55" i="17"/>
  <c r="H55" i="17" s="1"/>
  <c r="G27" i="17"/>
  <c r="H27" i="17" s="1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76" i="17"/>
  <c r="C99" i="17"/>
  <c r="B99" i="17"/>
  <c r="D99" i="17"/>
  <c r="G3" i="16"/>
  <c r="H3" i="16" s="1"/>
  <c r="G4" i="16"/>
  <c r="H4" i="16" s="1"/>
  <c r="G5" i="16"/>
  <c r="H5" i="16" s="1"/>
  <c r="G6" i="16"/>
  <c r="H6" i="16" s="1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23" i="16"/>
  <c r="H23" i="16" s="1"/>
  <c r="G24" i="16"/>
  <c r="H24" i="16" s="1"/>
  <c r="G25" i="16"/>
  <c r="H25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H34" i="16" s="1"/>
  <c r="G35" i="16"/>
  <c r="H35" i="16" s="1"/>
  <c r="G36" i="16"/>
  <c r="H36" i="16" s="1"/>
  <c r="E37" i="16"/>
  <c r="H37" i="16"/>
  <c r="E38" i="16"/>
  <c r="H38" i="16"/>
  <c r="E39" i="16"/>
  <c r="H39" i="16"/>
  <c r="E40" i="16"/>
  <c r="H40" i="16"/>
  <c r="E41" i="16"/>
  <c r="H41" i="16"/>
  <c r="E42" i="16"/>
  <c r="H42" i="16"/>
  <c r="E43" i="16"/>
  <c r="H43" i="16"/>
  <c r="E44" i="16"/>
  <c r="H44" i="16"/>
  <c r="E45" i="16"/>
  <c r="H45" i="16"/>
  <c r="E46" i="16"/>
  <c r="H46" i="16"/>
  <c r="E47" i="16"/>
  <c r="H47" i="16"/>
  <c r="E48" i="16"/>
  <c r="H48" i="16"/>
  <c r="E49" i="16"/>
  <c r="H49" i="16"/>
  <c r="E50" i="16"/>
  <c r="H50" i="16"/>
  <c r="E51" i="16"/>
  <c r="H51" i="16"/>
  <c r="E52" i="16"/>
  <c r="H52" i="16"/>
  <c r="E53" i="16"/>
  <c r="H53" i="16"/>
  <c r="E54" i="16"/>
  <c r="H54" i="16"/>
  <c r="E55" i="16"/>
  <c r="H55" i="16"/>
  <c r="E56" i="16"/>
  <c r="H56" i="16"/>
  <c r="E57" i="16"/>
  <c r="H57" i="16"/>
  <c r="E58" i="16"/>
  <c r="H58" i="16"/>
  <c r="E59" i="16"/>
  <c r="H59" i="16"/>
  <c r="E60" i="16"/>
  <c r="H60" i="16"/>
  <c r="E61" i="16"/>
  <c r="H61" i="16"/>
  <c r="E62" i="16"/>
  <c r="H62" i="16"/>
  <c r="E63" i="16"/>
  <c r="H63" i="16"/>
  <c r="E64" i="16"/>
  <c r="H64" i="16"/>
  <c r="E65" i="16"/>
  <c r="H65" i="16"/>
  <c r="E66" i="16"/>
  <c r="H66" i="16"/>
  <c r="E67" i="16"/>
  <c r="H67" i="16"/>
  <c r="E68" i="16"/>
  <c r="H68" i="16"/>
  <c r="E69" i="16"/>
  <c r="H69" i="16"/>
  <c r="E70" i="16"/>
  <c r="H70" i="16"/>
  <c r="E71" i="16"/>
  <c r="H71" i="16"/>
  <c r="E72" i="16"/>
  <c r="H72" i="16"/>
  <c r="E73" i="16"/>
  <c r="H73" i="16"/>
  <c r="E74" i="16"/>
  <c r="H74" i="16"/>
  <c r="E75" i="16"/>
  <c r="H75" i="16"/>
  <c r="E76" i="16"/>
  <c r="H76" i="16"/>
  <c r="E77" i="16"/>
  <c r="H77" i="16"/>
  <c r="E78" i="16"/>
  <c r="H78" i="16"/>
  <c r="E79" i="16"/>
  <c r="H79" i="16"/>
  <c r="E80" i="16"/>
  <c r="H80" i="16"/>
  <c r="E81" i="16"/>
  <c r="H81" i="16"/>
  <c r="E82" i="16"/>
  <c r="H82" i="16"/>
  <c r="E83" i="16"/>
  <c r="H83" i="16"/>
  <c r="E84" i="16"/>
  <c r="H84" i="16"/>
  <c r="E85" i="16"/>
  <c r="H85" i="16"/>
  <c r="E86" i="16"/>
  <c r="H86" i="16"/>
  <c r="E87" i="16"/>
  <c r="H87" i="16"/>
  <c r="E88" i="16"/>
  <c r="H88" i="16"/>
  <c r="E89" i="16"/>
  <c r="H89" i="16"/>
  <c r="E90" i="16"/>
  <c r="H90" i="16"/>
  <c r="E91" i="16"/>
  <c r="H91" i="16"/>
  <c r="E92" i="16"/>
  <c r="H92" i="16"/>
  <c r="E93" i="16"/>
  <c r="H93" i="16"/>
  <c r="E94" i="16"/>
  <c r="H94" i="16"/>
  <c r="E95" i="16"/>
  <c r="H95" i="16"/>
  <c r="E96" i="16"/>
  <c r="H96" i="16"/>
  <c r="E97" i="16"/>
  <c r="H97" i="16"/>
  <c r="E98" i="16"/>
  <c r="H98" i="16"/>
  <c r="C99" i="16"/>
  <c r="D99" i="16"/>
  <c r="F99" i="16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O23" i="15"/>
  <c r="G24" i="15"/>
  <c r="O24" i="15"/>
  <c r="G25" i="15"/>
  <c r="O25" i="15"/>
  <c r="G26" i="15"/>
  <c r="O26" i="15"/>
  <c r="G27" i="15"/>
  <c r="G28" i="15"/>
  <c r="G29" i="15"/>
  <c r="G30" i="15"/>
  <c r="G31" i="15"/>
  <c r="G32" i="15"/>
  <c r="E33" i="15"/>
  <c r="E34" i="15"/>
  <c r="G34" i="15" s="1"/>
  <c r="E35" i="15"/>
  <c r="G35" i="15" s="1"/>
  <c r="E36" i="15"/>
  <c r="G36" i="15" s="1"/>
  <c r="E37" i="15"/>
  <c r="G37" i="15" s="1"/>
  <c r="E38" i="15"/>
  <c r="G38" i="15" s="1"/>
  <c r="E39" i="15"/>
  <c r="G39" i="15" s="1"/>
  <c r="E40" i="15"/>
  <c r="G40" i="15" s="1"/>
  <c r="E41" i="15"/>
  <c r="G41" i="15" s="1"/>
  <c r="E42" i="15"/>
  <c r="G42" i="15" s="1"/>
  <c r="E43" i="15"/>
  <c r="G43" i="15" s="1"/>
  <c r="E44" i="15"/>
  <c r="G44" i="15" s="1"/>
  <c r="E45" i="15"/>
  <c r="G45" i="15" s="1"/>
  <c r="E46" i="15"/>
  <c r="G46" i="15" s="1"/>
  <c r="E47" i="15"/>
  <c r="G47" i="15" s="1"/>
  <c r="E48" i="15"/>
  <c r="G48" i="15" s="1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B101" i="15"/>
  <c r="C101" i="15"/>
  <c r="D101" i="15"/>
  <c r="F101" i="15"/>
  <c r="C5" i="14"/>
  <c r="E5" i="14"/>
  <c r="C6" i="14"/>
  <c r="E6" i="14"/>
  <c r="C7" i="14"/>
  <c r="E7" i="14"/>
  <c r="C8" i="14"/>
  <c r="E8" i="14"/>
  <c r="C9" i="14"/>
  <c r="E9" i="14"/>
  <c r="C10" i="14"/>
  <c r="E10" i="14"/>
  <c r="C11" i="14"/>
  <c r="E11" i="14"/>
  <c r="C12" i="14"/>
  <c r="E12" i="14"/>
  <c r="C13" i="14"/>
  <c r="E13" i="14"/>
  <c r="C14" i="14"/>
  <c r="E14" i="14"/>
  <c r="C15" i="14"/>
  <c r="E15" i="14"/>
  <c r="C16" i="14"/>
  <c r="E16" i="14"/>
  <c r="C17" i="14"/>
  <c r="E17" i="14"/>
  <c r="C18" i="14"/>
  <c r="E18" i="14"/>
  <c r="C19" i="14"/>
  <c r="E19" i="14"/>
  <c r="C20" i="14"/>
  <c r="E20" i="14"/>
  <c r="C21" i="14"/>
  <c r="E21" i="14"/>
  <c r="C22" i="14"/>
  <c r="E22" i="14"/>
  <c r="C23" i="14"/>
  <c r="E23" i="14"/>
  <c r="C24" i="14"/>
  <c r="E24" i="14"/>
  <c r="C25" i="14"/>
  <c r="E25" i="14"/>
  <c r="C26" i="14"/>
  <c r="E26" i="14"/>
  <c r="C27" i="14"/>
  <c r="E27" i="14"/>
  <c r="C28" i="14"/>
  <c r="E28" i="14"/>
  <c r="C29" i="14"/>
  <c r="F29" i="14" s="1"/>
  <c r="C30" i="14"/>
  <c r="F30" i="14" s="1"/>
  <c r="C31" i="14"/>
  <c r="F31" i="14" s="1"/>
  <c r="C32" i="14"/>
  <c r="F32" i="14" s="1"/>
  <c r="C33" i="14"/>
  <c r="F33" i="14" s="1"/>
  <c r="C34" i="14"/>
  <c r="F34" i="14" s="1"/>
  <c r="C35" i="14"/>
  <c r="F35" i="14" s="1"/>
  <c r="C36" i="14"/>
  <c r="F36" i="14" s="1"/>
  <c r="C37" i="14"/>
  <c r="F37" i="14" s="1"/>
  <c r="C38" i="14"/>
  <c r="F38" i="14" s="1"/>
  <c r="C39" i="14"/>
  <c r="F39" i="14" s="1"/>
  <c r="C40" i="14"/>
  <c r="F40" i="14" s="1"/>
  <c r="C41" i="14"/>
  <c r="F41" i="14" s="1"/>
  <c r="C42" i="14"/>
  <c r="F42" i="14" s="1"/>
  <c r="C43" i="14"/>
  <c r="F43" i="14" s="1"/>
  <c r="C44" i="14"/>
  <c r="F44" i="14" s="1"/>
  <c r="C45" i="14"/>
  <c r="F45" i="14" s="1"/>
  <c r="C46" i="14"/>
  <c r="F46" i="14" s="1"/>
  <c r="C47" i="14"/>
  <c r="F47" i="14" s="1"/>
  <c r="C48" i="14"/>
  <c r="F48" i="14" s="1"/>
  <c r="C49" i="14"/>
  <c r="F49" i="14" s="1"/>
  <c r="C50" i="14"/>
  <c r="F50" i="14" s="1"/>
  <c r="C51" i="14"/>
  <c r="F51" i="14" s="1"/>
  <c r="C52" i="14"/>
  <c r="F52" i="14" s="1"/>
  <c r="C53" i="14"/>
  <c r="F53" i="14" s="1"/>
  <c r="C54" i="14"/>
  <c r="F54" i="14" s="1"/>
  <c r="C55" i="14"/>
  <c r="F55" i="14" s="1"/>
  <c r="C56" i="14"/>
  <c r="F56" i="14" s="1"/>
  <c r="C57" i="14"/>
  <c r="F57" i="14" s="1"/>
  <c r="C58" i="14"/>
  <c r="F58" i="14" s="1"/>
  <c r="C59" i="14"/>
  <c r="F59" i="14" s="1"/>
  <c r="C60" i="14"/>
  <c r="F60" i="14" s="1"/>
  <c r="C61" i="14"/>
  <c r="F61" i="14" s="1"/>
  <c r="C62" i="14"/>
  <c r="F62" i="14" s="1"/>
  <c r="C63" i="14"/>
  <c r="F63" i="14" s="1"/>
  <c r="C64" i="14"/>
  <c r="F64" i="14" s="1"/>
  <c r="C65" i="14"/>
  <c r="F65" i="14" s="1"/>
  <c r="C66" i="14"/>
  <c r="F66" i="14" s="1"/>
  <c r="C67" i="14"/>
  <c r="F67" i="14" s="1"/>
  <c r="C68" i="14"/>
  <c r="F68" i="14" s="1"/>
  <c r="C69" i="14"/>
  <c r="F69" i="14" s="1"/>
  <c r="C70" i="14"/>
  <c r="F70" i="14" s="1"/>
  <c r="C71" i="14"/>
  <c r="F71" i="14" s="1"/>
  <c r="C72" i="14"/>
  <c r="F72" i="14" s="1"/>
  <c r="C73" i="14"/>
  <c r="F73" i="14" s="1"/>
  <c r="C74" i="14"/>
  <c r="F74" i="14" s="1"/>
  <c r="C75" i="14"/>
  <c r="F75" i="14" s="1"/>
  <c r="C76" i="14"/>
  <c r="F76" i="14" s="1"/>
  <c r="C77" i="14"/>
  <c r="F77" i="14" s="1"/>
  <c r="C78" i="14"/>
  <c r="F78" i="14" s="1"/>
  <c r="C79" i="14"/>
  <c r="F79" i="14" s="1"/>
  <c r="C80" i="14"/>
  <c r="F80" i="14" s="1"/>
  <c r="C81" i="14"/>
  <c r="E81" i="14"/>
  <c r="C82" i="14"/>
  <c r="E82" i="14"/>
  <c r="C83" i="14"/>
  <c r="E83" i="14"/>
  <c r="C84" i="14"/>
  <c r="E84" i="14"/>
  <c r="C85" i="14"/>
  <c r="E85" i="14"/>
  <c r="C86" i="14"/>
  <c r="E86" i="14"/>
  <c r="C87" i="14"/>
  <c r="E87" i="14"/>
  <c r="C88" i="14"/>
  <c r="E88" i="14"/>
  <c r="C89" i="14"/>
  <c r="E89" i="14"/>
  <c r="C90" i="14"/>
  <c r="E90" i="14"/>
  <c r="C91" i="14"/>
  <c r="E91" i="14"/>
  <c r="C92" i="14"/>
  <c r="E92" i="14"/>
  <c r="C93" i="14"/>
  <c r="E93" i="14"/>
  <c r="C94" i="14"/>
  <c r="E94" i="14"/>
  <c r="C95" i="14"/>
  <c r="E95" i="14"/>
  <c r="C96" i="14"/>
  <c r="E96" i="14"/>
  <c r="C97" i="14"/>
  <c r="E97" i="14"/>
  <c r="C98" i="14"/>
  <c r="E98" i="14"/>
  <c r="C99" i="14"/>
  <c r="E99" i="14"/>
  <c r="C100" i="14"/>
  <c r="E100" i="14"/>
  <c r="A101" i="14"/>
  <c r="B101" i="14"/>
  <c r="D101" i="14"/>
  <c r="R3" i="12"/>
  <c r="S3" i="12" s="1"/>
  <c r="R4" i="12"/>
  <c r="S4" i="12" s="1"/>
  <c r="R5" i="12"/>
  <c r="S5" i="12" s="1"/>
  <c r="R6" i="12"/>
  <c r="S6" i="12" s="1"/>
  <c r="R7" i="12"/>
  <c r="S7" i="12" s="1"/>
  <c r="R8" i="12"/>
  <c r="S8" i="12" s="1"/>
  <c r="R9" i="12"/>
  <c r="S9" i="12" s="1"/>
  <c r="R10" i="12"/>
  <c r="S10" i="12" s="1"/>
  <c r="R11" i="12"/>
  <c r="S11" i="12" s="1"/>
  <c r="R12" i="12"/>
  <c r="S12" i="12" s="1"/>
  <c r="R13" i="12"/>
  <c r="S13" i="12" s="1"/>
  <c r="R14" i="12"/>
  <c r="S14" i="12" s="1"/>
  <c r="R15" i="12"/>
  <c r="S15" i="12" s="1"/>
  <c r="R16" i="12"/>
  <c r="S16" i="12" s="1"/>
  <c r="R17" i="12"/>
  <c r="S17" i="12" s="1"/>
  <c r="R18" i="12"/>
  <c r="S18" i="12" s="1"/>
  <c r="R19" i="12"/>
  <c r="S19" i="12" s="1"/>
  <c r="R20" i="12"/>
  <c r="S20" i="12" s="1"/>
  <c r="R21" i="12"/>
  <c r="S21" i="12" s="1"/>
  <c r="R22" i="12"/>
  <c r="S22" i="12" s="1"/>
  <c r="R23" i="12"/>
  <c r="S23" i="12" s="1"/>
  <c r="R24" i="12"/>
  <c r="S24" i="12" s="1"/>
  <c r="R25" i="12"/>
  <c r="S25" i="12" s="1"/>
  <c r="R26" i="12"/>
  <c r="S26" i="12" s="1"/>
  <c r="R27" i="12"/>
  <c r="S27" i="12" s="1"/>
  <c r="R28" i="12"/>
  <c r="S28" i="12" s="1"/>
  <c r="R29" i="12"/>
  <c r="S29" i="12" s="1"/>
  <c r="R30" i="12"/>
  <c r="S30" i="12" s="1"/>
  <c r="R31" i="12"/>
  <c r="S31" i="12" s="1"/>
  <c r="R32" i="12"/>
  <c r="S32" i="12" s="1"/>
  <c r="R33" i="12"/>
  <c r="S33" i="12" s="1"/>
  <c r="R34" i="12"/>
  <c r="S34" i="12" s="1"/>
  <c r="R35" i="12"/>
  <c r="S35" i="12" s="1"/>
  <c r="R36" i="12"/>
  <c r="S36" i="12" s="1"/>
  <c r="R37" i="12"/>
  <c r="S37" i="12" s="1"/>
  <c r="R38" i="12"/>
  <c r="S38" i="12" s="1"/>
  <c r="R39" i="12"/>
  <c r="S39" i="12" s="1"/>
  <c r="R40" i="12"/>
  <c r="S40" i="12" s="1"/>
  <c r="R41" i="12"/>
  <c r="S41" i="12" s="1"/>
  <c r="R42" i="12"/>
  <c r="S42" i="12" s="1"/>
  <c r="R43" i="12"/>
  <c r="S43" i="12" s="1"/>
  <c r="R44" i="12"/>
  <c r="S44" i="12" s="1"/>
  <c r="R45" i="12"/>
  <c r="S45" i="12" s="1"/>
  <c r="R46" i="12"/>
  <c r="S46" i="12" s="1"/>
  <c r="R47" i="12"/>
  <c r="S47" i="12" s="1"/>
  <c r="R48" i="12"/>
  <c r="S48" i="12" s="1"/>
  <c r="R49" i="12"/>
  <c r="S49" i="12" s="1"/>
  <c r="R50" i="12"/>
  <c r="S50" i="12" s="1"/>
  <c r="R51" i="12"/>
  <c r="S51" i="12" s="1"/>
  <c r="R52" i="12"/>
  <c r="S52" i="12" s="1"/>
  <c r="R53" i="12"/>
  <c r="S53" i="12" s="1"/>
  <c r="R54" i="12"/>
  <c r="S54" i="12" s="1"/>
  <c r="R55" i="12"/>
  <c r="S55" i="12" s="1"/>
  <c r="R56" i="12"/>
  <c r="S56" i="12" s="1"/>
  <c r="R57" i="12"/>
  <c r="S57" i="12" s="1"/>
  <c r="R58" i="12"/>
  <c r="S58" i="12" s="1"/>
  <c r="R59" i="12"/>
  <c r="S59" i="12" s="1"/>
  <c r="R60" i="12"/>
  <c r="S60" i="12" s="1"/>
  <c r="R61" i="12"/>
  <c r="S61" i="12" s="1"/>
  <c r="R62" i="12"/>
  <c r="S62" i="12" s="1"/>
  <c r="R63" i="12"/>
  <c r="S63" i="12" s="1"/>
  <c r="R64" i="12"/>
  <c r="S64" i="12" s="1"/>
  <c r="R65" i="12"/>
  <c r="S65" i="12" s="1"/>
  <c r="R66" i="12"/>
  <c r="S66" i="12" s="1"/>
  <c r="R67" i="12"/>
  <c r="S67" i="12" s="1"/>
  <c r="R68" i="12"/>
  <c r="S68" i="12" s="1"/>
  <c r="R69" i="12"/>
  <c r="S69" i="12" s="1"/>
  <c r="R70" i="12"/>
  <c r="S70" i="12" s="1"/>
  <c r="R71" i="12"/>
  <c r="S71" i="12" s="1"/>
  <c r="R72" i="12"/>
  <c r="S72" i="12" s="1"/>
  <c r="R73" i="12"/>
  <c r="S73" i="12" s="1"/>
  <c r="R74" i="12"/>
  <c r="S74" i="12" s="1"/>
  <c r="R75" i="12"/>
  <c r="S75" i="12" s="1"/>
  <c r="R76" i="12"/>
  <c r="S76" i="12" s="1"/>
  <c r="R77" i="12"/>
  <c r="S77" i="12" s="1"/>
  <c r="R78" i="12"/>
  <c r="S78" i="12" s="1"/>
  <c r="B79" i="12"/>
  <c r="C79" i="12"/>
  <c r="D79" i="12"/>
  <c r="E79" i="12"/>
  <c r="L79" i="12"/>
  <c r="R79" i="12"/>
  <c r="S79" i="12" s="1"/>
  <c r="R80" i="12"/>
  <c r="S80" i="12" s="1"/>
  <c r="R81" i="12"/>
  <c r="S81" i="12" s="1"/>
  <c r="R82" i="12"/>
  <c r="S82" i="12" s="1"/>
  <c r="R83" i="12"/>
  <c r="S83" i="12" s="1"/>
  <c r="R84" i="12"/>
  <c r="S84" i="12" s="1"/>
  <c r="R85" i="12"/>
  <c r="S85" i="12" s="1"/>
  <c r="R86" i="12"/>
  <c r="S86" i="12" s="1"/>
  <c r="R87" i="12"/>
  <c r="S87" i="12" s="1"/>
  <c r="R88" i="12"/>
  <c r="S88" i="12" s="1"/>
  <c r="R89" i="12"/>
  <c r="S89" i="12" s="1"/>
  <c r="R90" i="12"/>
  <c r="S90" i="12" s="1"/>
  <c r="R91" i="12"/>
  <c r="S91" i="12" s="1"/>
  <c r="R92" i="12"/>
  <c r="S92" i="12" s="1"/>
  <c r="R93" i="12"/>
  <c r="S93" i="12" s="1"/>
  <c r="R94" i="12"/>
  <c r="S94" i="12" s="1"/>
  <c r="R95" i="12"/>
  <c r="S95" i="12" s="1"/>
  <c r="R96" i="12"/>
  <c r="S96" i="12" s="1"/>
  <c r="R97" i="12"/>
  <c r="S97" i="12" s="1"/>
  <c r="R98" i="12"/>
  <c r="S98" i="12" s="1"/>
  <c r="N99" i="12"/>
  <c r="O99" i="12"/>
  <c r="P99" i="12"/>
  <c r="Q99" i="12"/>
  <c r="E1" i="11"/>
  <c r="G1" i="11"/>
  <c r="I1" i="11" s="1"/>
  <c r="J1" i="11" s="1"/>
  <c r="K1" i="11" s="1"/>
  <c r="M1" i="11" s="1"/>
  <c r="E2" i="11"/>
  <c r="G2" i="11"/>
  <c r="I2" i="11" s="1"/>
  <c r="J2" i="11" s="1"/>
  <c r="K2" i="11" s="1"/>
  <c r="M2" i="11" s="1"/>
  <c r="N2" i="11" s="1"/>
  <c r="E3" i="11"/>
  <c r="G3" i="11"/>
  <c r="I3" i="11" s="1"/>
  <c r="J3" i="11" s="1"/>
  <c r="K3" i="11" s="1"/>
  <c r="M3" i="11" s="1"/>
  <c r="N3" i="11" s="1"/>
  <c r="E4" i="11"/>
  <c r="G4" i="11"/>
  <c r="I4" i="11" s="1"/>
  <c r="J4" i="11" s="1"/>
  <c r="K4" i="11" s="1"/>
  <c r="M4" i="11" s="1"/>
  <c r="N4" i="11" s="1"/>
  <c r="E5" i="11"/>
  <c r="G5" i="11"/>
  <c r="I5" i="11" s="1"/>
  <c r="J5" i="11" s="1"/>
  <c r="K5" i="11" s="1"/>
  <c r="M5" i="11" s="1"/>
  <c r="N5" i="11" s="1"/>
  <c r="E6" i="11"/>
  <c r="G6" i="11"/>
  <c r="I6" i="11" s="1"/>
  <c r="J6" i="11" s="1"/>
  <c r="K6" i="11" s="1"/>
  <c r="M6" i="11" s="1"/>
  <c r="N6" i="11" s="1"/>
  <c r="E7" i="11"/>
  <c r="G7" i="11"/>
  <c r="I7" i="11" s="1"/>
  <c r="J7" i="11" s="1"/>
  <c r="K7" i="11" s="1"/>
  <c r="E8" i="11"/>
  <c r="G8" i="11"/>
  <c r="I8" i="11" s="1"/>
  <c r="J8" i="11" s="1"/>
  <c r="K8" i="11" s="1"/>
  <c r="M8" i="11" s="1"/>
  <c r="N8" i="11" s="1"/>
  <c r="E9" i="11"/>
  <c r="G9" i="11"/>
  <c r="I9" i="11" s="1"/>
  <c r="J9" i="11" s="1"/>
  <c r="K9" i="11" s="1"/>
  <c r="M9" i="11" s="1"/>
  <c r="N9" i="11" s="1"/>
  <c r="E10" i="11"/>
  <c r="G10" i="11"/>
  <c r="I10" i="11" s="1"/>
  <c r="E11" i="11"/>
  <c r="G11" i="11"/>
  <c r="I11" i="11" s="1"/>
  <c r="J11" i="11" s="1"/>
  <c r="K11" i="11" s="1"/>
  <c r="M11" i="11" s="1"/>
  <c r="N11" i="11" s="1"/>
  <c r="E12" i="11"/>
  <c r="G12" i="11"/>
  <c r="I12" i="11" s="1"/>
  <c r="J12" i="11" s="1"/>
  <c r="K12" i="11" s="1"/>
  <c r="M12" i="11" s="1"/>
  <c r="N12" i="11" s="1"/>
  <c r="E13" i="11"/>
  <c r="G13" i="11"/>
  <c r="I13" i="11" s="1"/>
  <c r="J13" i="11" s="1"/>
  <c r="K13" i="11" s="1"/>
  <c r="M13" i="11" s="1"/>
  <c r="N13" i="11" s="1"/>
  <c r="E14" i="11"/>
  <c r="G14" i="11"/>
  <c r="I14" i="11" s="1"/>
  <c r="J14" i="11" s="1"/>
  <c r="K14" i="11" s="1"/>
  <c r="M14" i="11" s="1"/>
  <c r="N14" i="11" s="1"/>
  <c r="E15" i="11"/>
  <c r="G15" i="11"/>
  <c r="I15" i="11" s="1"/>
  <c r="J15" i="11" s="1"/>
  <c r="K15" i="11" s="1"/>
  <c r="M15" i="11" s="1"/>
  <c r="N15" i="11" s="1"/>
  <c r="E16" i="11"/>
  <c r="G16" i="11"/>
  <c r="I16" i="11" s="1"/>
  <c r="J16" i="11" s="1"/>
  <c r="K16" i="11" s="1"/>
  <c r="M16" i="11" s="1"/>
  <c r="N16" i="11" s="1"/>
  <c r="E17" i="11"/>
  <c r="G17" i="11"/>
  <c r="I17" i="11" s="1"/>
  <c r="J17" i="11" s="1"/>
  <c r="K17" i="11" s="1"/>
  <c r="M17" i="11" s="1"/>
  <c r="N17" i="11" s="1"/>
  <c r="E18" i="11"/>
  <c r="G18" i="11"/>
  <c r="I18" i="11" s="1"/>
  <c r="J18" i="11" s="1"/>
  <c r="K18" i="11" s="1"/>
  <c r="M18" i="11" s="1"/>
  <c r="N18" i="11" s="1"/>
  <c r="E19" i="11"/>
  <c r="G19" i="11"/>
  <c r="I19" i="11" s="1"/>
  <c r="J19" i="11" s="1"/>
  <c r="K19" i="11" s="1"/>
  <c r="M19" i="11" s="1"/>
  <c r="N19" i="11" s="1"/>
  <c r="E20" i="11"/>
  <c r="G20" i="11"/>
  <c r="I20" i="11" s="1"/>
  <c r="J20" i="11" s="1"/>
  <c r="K20" i="11" s="1"/>
  <c r="M20" i="11" s="1"/>
  <c r="N20" i="11" s="1"/>
  <c r="E21" i="11"/>
  <c r="G21" i="11"/>
  <c r="I21" i="11" s="1"/>
  <c r="J21" i="11" s="1"/>
  <c r="K21" i="11" s="1"/>
  <c r="M21" i="11" s="1"/>
  <c r="N21" i="11" s="1"/>
  <c r="E22" i="11"/>
  <c r="G22" i="11"/>
  <c r="I22" i="11" s="1"/>
  <c r="J22" i="11" s="1"/>
  <c r="K22" i="11" s="1"/>
  <c r="M22" i="11" s="1"/>
  <c r="N22" i="11" s="1"/>
  <c r="E23" i="11"/>
  <c r="G23" i="11"/>
  <c r="I23" i="11" s="1"/>
  <c r="J23" i="11" s="1"/>
  <c r="K23" i="11" s="1"/>
  <c r="M23" i="11" s="1"/>
  <c r="N23" i="11" s="1"/>
  <c r="E24" i="11"/>
  <c r="G24" i="11"/>
  <c r="I24" i="11" s="1"/>
  <c r="J24" i="11" s="1"/>
  <c r="K24" i="11" s="1"/>
  <c r="M24" i="11" s="1"/>
  <c r="N24" i="11" s="1"/>
  <c r="E25" i="11"/>
  <c r="G25" i="11"/>
  <c r="I25" i="11" s="1"/>
  <c r="J25" i="11" s="1"/>
  <c r="K25" i="11" s="1"/>
  <c r="M25" i="11" s="1"/>
  <c r="N25" i="11" s="1"/>
  <c r="E26" i="11"/>
  <c r="G26" i="11"/>
  <c r="I26" i="11" s="1"/>
  <c r="J26" i="11" s="1"/>
  <c r="K26" i="11" s="1"/>
  <c r="M26" i="11" s="1"/>
  <c r="N26" i="11" s="1"/>
  <c r="E27" i="11"/>
  <c r="G27" i="11"/>
  <c r="I27" i="11" s="1"/>
  <c r="J27" i="11" s="1"/>
  <c r="K27" i="11" s="1"/>
  <c r="M27" i="11" s="1"/>
  <c r="N27" i="11" s="1"/>
  <c r="E28" i="11"/>
  <c r="G28" i="11"/>
  <c r="I28" i="11" s="1"/>
  <c r="J28" i="11" s="1"/>
  <c r="K28" i="11" s="1"/>
  <c r="M28" i="11" s="1"/>
  <c r="N28" i="11" s="1"/>
  <c r="E29" i="11"/>
  <c r="G29" i="11"/>
  <c r="I29" i="11" s="1"/>
  <c r="J29" i="11" s="1"/>
  <c r="K29" i="11" s="1"/>
  <c r="M29" i="11" s="1"/>
  <c r="N29" i="11" s="1"/>
  <c r="E30" i="11"/>
  <c r="G30" i="11"/>
  <c r="I30" i="11" s="1"/>
  <c r="J30" i="11" s="1"/>
  <c r="K30" i="11" s="1"/>
  <c r="M30" i="11" s="1"/>
  <c r="N30" i="11" s="1"/>
  <c r="E31" i="11"/>
  <c r="G31" i="11"/>
  <c r="I31" i="11" s="1"/>
  <c r="J31" i="11" s="1"/>
  <c r="K31" i="11" s="1"/>
  <c r="M31" i="11" s="1"/>
  <c r="N31" i="11" s="1"/>
  <c r="E32" i="11"/>
  <c r="G32" i="11"/>
  <c r="I32" i="11" s="1"/>
  <c r="J32" i="11" s="1"/>
  <c r="K32" i="11" s="1"/>
  <c r="M32" i="11" s="1"/>
  <c r="N32" i="11" s="1"/>
  <c r="E33" i="11"/>
  <c r="G33" i="11"/>
  <c r="I33" i="11" s="1"/>
  <c r="J33" i="11" s="1"/>
  <c r="K33" i="11" s="1"/>
  <c r="M33" i="11" s="1"/>
  <c r="N33" i="11" s="1"/>
  <c r="E34" i="11"/>
  <c r="G34" i="11"/>
  <c r="I34" i="11" s="1"/>
  <c r="J34" i="11" s="1"/>
  <c r="K34" i="11" s="1"/>
  <c r="M34" i="11" s="1"/>
  <c r="N34" i="11" s="1"/>
  <c r="E35" i="11"/>
  <c r="G35" i="11"/>
  <c r="I35" i="11" s="1"/>
  <c r="J35" i="11" s="1"/>
  <c r="K35" i="11" s="1"/>
  <c r="M35" i="11" s="1"/>
  <c r="N35" i="11" s="1"/>
  <c r="E36" i="11"/>
  <c r="G36" i="11"/>
  <c r="I36" i="11" s="1"/>
  <c r="J36" i="11" s="1"/>
  <c r="K36" i="11" s="1"/>
  <c r="M36" i="11" s="1"/>
  <c r="N36" i="11" s="1"/>
  <c r="E37" i="11"/>
  <c r="G37" i="11"/>
  <c r="I37" i="11" s="1"/>
  <c r="J37" i="11" s="1"/>
  <c r="K37" i="11" s="1"/>
  <c r="M37" i="11" s="1"/>
  <c r="N37" i="11" s="1"/>
  <c r="E38" i="11"/>
  <c r="G38" i="11"/>
  <c r="I38" i="11" s="1"/>
  <c r="J38" i="11" s="1"/>
  <c r="K38" i="11" s="1"/>
  <c r="M38" i="11" s="1"/>
  <c r="N38" i="11" s="1"/>
  <c r="E39" i="11"/>
  <c r="G39" i="11"/>
  <c r="I39" i="11" s="1"/>
  <c r="J39" i="11" s="1"/>
  <c r="K39" i="11" s="1"/>
  <c r="M39" i="11" s="1"/>
  <c r="N39" i="11" s="1"/>
  <c r="E40" i="11"/>
  <c r="G40" i="11"/>
  <c r="I40" i="11" s="1"/>
  <c r="J40" i="11" s="1"/>
  <c r="K40" i="11" s="1"/>
  <c r="M40" i="11" s="1"/>
  <c r="N40" i="11" s="1"/>
  <c r="E41" i="11"/>
  <c r="G41" i="11"/>
  <c r="I41" i="11" s="1"/>
  <c r="J41" i="11" s="1"/>
  <c r="K41" i="11" s="1"/>
  <c r="M41" i="11" s="1"/>
  <c r="N41" i="11" s="1"/>
  <c r="E42" i="11"/>
  <c r="G42" i="11"/>
  <c r="I42" i="11" s="1"/>
  <c r="J42" i="11" s="1"/>
  <c r="K42" i="11" s="1"/>
  <c r="M42" i="11" s="1"/>
  <c r="N42" i="11" s="1"/>
  <c r="E43" i="11"/>
  <c r="G43" i="11"/>
  <c r="I43" i="11" s="1"/>
  <c r="J43" i="11" s="1"/>
  <c r="K43" i="11" s="1"/>
  <c r="M43" i="11" s="1"/>
  <c r="N43" i="11" s="1"/>
  <c r="E44" i="11"/>
  <c r="G44" i="11"/>
  <c r="I44" i="11" s="1"/>
  <c r="J44" i="11" s="1"/>
  <c r="K44" i="11" s="1"/>
  <c r="M44" i="11" s="1"/>
  <c r="N44" i="11" s="1"/>
  <c r="E45" i="11"/>
  <c r="G45" i="11"/>
  <c r="I45" i="11" s="1"/>
  <c r="J45" i="11" s="1"/>
  <c r="K45" i="11" s="1"/>
  <c r="M45" i="11" s="1"/>
  <c r="N45" i="11" s="1"/>
  <c r="E46" i="11"/>
  <c r="G46" i="11"/>
  <c r="I46" i="11" s="1"/>
  <c r="J46" i="11" s="1"/>
  <c r="K46" i="11" s="1"/>
  <c r="M46" i="11" s="1"/>
  <c r="N46" i="11" s="1"/>
  <c r="E47" i="11"/>
  <c r="G47" i="11"/>
  <c r="I47" i="11" s="1"/>
  <c r="J47" i="11" s="1"/>
  <c r="K47" i="11" s="1"/>
  <c r="M47" i="11" s="1"/>
  <c r="N47" i="11" s="1"/>
  <c r="E48" i="11"/>
  <c r="G48" i="11"/>
  <c r="I48" i="11" s="1"/>
  <c r="J48" i="11" s="1"/>
  <c r="K48" i="11" s="1"/>
  <c r="M48" i="11" s="1"/>
  <c r="N48" i="11" s="1"/>
  <c r="E49" i="11"/>
  <c r="G49" i="11"/>
  <c r="I49" i="11" s="1"/>
  <c r="J49" i="11" s="1"/>
  <c r="K49" i="11" s="1"/>
  <c r="M49" i="11" s="1"/>
  <c r="N49" i="11" s="1"/>
  <c r="E50" i="11"/>
  <c r="G50" i="11"/>
  <c r="I50" i="11" s="1"/>
  <c r="J50" i="11" s="1"/>
  <c r="K50" i="11" s="1"/>
  <c r="M50" i="11" s="1"/>
  <c r="N50" i="11" s="1"/>
  <c r="E51" i="11"/>
  <c r="G51" i="11"/>
  <c r="I51" i="11" s="1"/>
  <c r="J51" i="11" s="1"/>
  <c r="K51" i="11" s="1"/>
  <c r="M51" i="11" s="1"/>
  <c r="N51" i="11" s="1"/>
  <c r="E52" i="11"/>
  <c r="G52" i="11"/>
  <c r="I52" i="11" s="1"/>
  <c r="J52" i="11" s="1"/>
  <c r="K52" i="11" s="1"/>
  <c r="M52" i="11" s="1"/>
  <c r="N52" i="11" s="1"/>
  <c r="E53" i="11"/>
  <c r="G53" i="11"/>
  <c r="I53" i="11" s="1"/>
  <c r="J53" i="11" s="1"/>
  <c r="K53" i="11" s="1"/>
  <c r="M53" i="11" s="1"/>
  <c r="N53" i="11" s="1"/>
  <c r="E54" i="11"/>
  <c r="G54" i="11"/>
  <c r="I54" i="11" s="1"/>
  <c r="J54" i="11" s="1"/>
  <c r="K54" i="11" s="1"/>
  <c r="M54" i="11" s="1"/>
  <c r="N54" i="11" s="1"/>
  <c r="E55" i="11"/>
  <c r="G55" i="11"/>
  <c r="I55" i="11" s="1"/>
  <c r="J55" i="11" s="1"/>
  <c r="K55" i="11" s="1"/>
  <c r="M55" i="11" s="1"/>
  <c r="N55" i="11" s="1"/>
  <c r="E56" i="11"/>
  <c r="G56" i="11"/>
  <c r="I56" i="11" s="1"/>
  <c r="J56" i="11" s="1"/>
  <c r="K56" i="11" s="1"/>
  <c r="M56" i="11" s="1"/>
  <c r="N56" i="11" s="1"/>
  <c r="E57" i="11"/>
  <c r="G57" i="11"/>
  <c r="I57" i="11" s="1"/>
  <c r="J57" i="11" s="1"/>
  <c r="K57" i="11" s="1"/>
  <c r="M57" i="11" s="1"/>
  <c r="N57" i="11" s="1"/>
  <c r="E58" i="11"/>
  <c r="G58" i="11"/>
  <c r="I58" i="11" s="1"/>
  <c r="J58" i="11" s="1"/>
  <c r="K58" i="11" s="1"/>
  <c r="M58" i="11" s="1"/>
  <c r="N58" i="11" s="1"/>
  <c r="E59" i="11"/>
  <c r="G59" i="11"/>
  <c r="I59" i="11" s="1"/>
  <c r="J59" i="11" s="1"/>
  <c r="K59" i="11" s="1"/>
  <c r="M59" i="11" s="1"/>
  <c r="N59" i="11" s="1"/>
  <c r="E60" i="11"/>
  <c r="G60" i="11"/>
  <c r="I60" i="11" s="1"/>
  <c r="J60" i="11" s="1"/>
  <c r="K60" i="11" s="1"/>
  <c r="M60" i="11" s="1"/>
  <c r="N60" i="11" s="1"/>
  <c r="E61" i="11"/>
  <c r="G61" i="11"/>
  <c r="I61" i="11" s="1"/>
  <c r="J61" i="11" s="1"/>
  <c r="K61" i="11" s="1"/>
  <c r="M61" i="11" s="1"/>
  <c r="N61" i="11" s="1"/>
  <c r="E62" i="11"/>
  <c r="G62" i="11"/>
  <c r="I62" i="11" s="1"/>
  <c r="J62" i="11" s="1"/>
  <c r="K62" i="11" s="1"/>
  <c r="M62" i="11" s="1"/>
  <c r="N62" i="11" s="1"/>
  <c r="E63" i="11"/>
  <c r="G63" i="11"/>
  <c r="I63" i="11" s="1"/>
  <c r="J63" i="11" s="1"/>
  <c r="K63" i="11" s="1"/>
  <c r="M63" i="11" s="1"/>
  <c r="N63" i="11" s="1"/>
  <c r="E64" i="11"/>
  <c r="G64" i="11"/>
  <c r="I64" i="11" s="1"/>
  <c r="J64" i="11" s="1"/>
  <c r="K64" i="11" s="1"/>
  <c r="M64" i="11" s="1"/>
  <c r="N64" i="11" s="1"/>
  <c r="E65" i="11"/>
  <c r="G65" i="11"/>
  <c r="I65" i="11" s="1"/>
  <c r="J65" i="11" s="1"/>
  <c r="K65" i="11" s="1"/>
  <c r="M65" i="11" s="1"/>
  <c r="N65" i="11" s="1"/>
  <c r="E66" i="11"/>
  <c r="G66" i="11"/>
  <c r="I66" i="11" s="1"/>
  <c r="J66" i="11" s="1"/>
  <c r="K66" i="11" s="1"/>
  <c r="M66" i="11" s="1"/>
  <c r="N66" i="11" s="1"/>
  <c r="E67" i="11"/>
  <c r="G67" i="11"/>
  <c r="I67" i="11" s="1"/>
  <c r="J67" i="11" s="1"/>
  <c r="K67" i="11" s="1"/>
  <c r="M67" i="11" s="1"/>
  <c r="N67" i="11" s="1"/>
  <c r="E68" i="11"/>
  <c r="G68" i="11"/>
  <c r="I68" i="11" s="1"/>
  <c r="J68" i="11" s="1"/>
  <c r="K68" i="11" s="1"/>
  <c r="M68" i="11" s="1"/>
  <c r="N68" i="11" s="1"/>
  <c r="E69" i="11"/>
  <c r="G69" i="11"/>
  <c r="I69" i="11" s="1"/>
  <c r="J69" i="11" s="1"/>
  <c r="K69" i="11" s="1"/>
  <c r="M69" i="11" s="1"/>
  <c r="N69" i="11" s="1"/>
  <c r="E70" i="11"/>
  <c r="G70" i="11"/>
  <c r="I70" i="11" s="1"/>
  <c r="J70" i="11" s="1"/>
  <c r="K70" i="11" s="1"/>
  <c r="M70" i="11" s="1"/>
  <c r="N70" i="11" s="1"/>
  <c r="E71" i="11"/>
  <c r="G71" i="11"/>
  <c r="I71" i="11" s="1"/>
  <c r="J71" i="11" s="1"/>
  <c r="K71" i="11" s="1"/>
  <c r="M71" i="11" s="1"/>
  <c r="N71" i="11" s="1"/>
  <c r="E72" i="11"/>
  <c r="G72" i="11"/>
  <c r="I72" i="11" s="1"/>
  <c r="J72" i="11" s="1"/>
  <c r="K72" i="11" s="1"/>
  <c r="M72" i="11" s="1"/>
  <c r="N72" i="11" s="1"/>
  <c r="E73" i="11"/>
  <c r="G73" i="11"/>
  <c r="I73" i="11" s="1"/>
  <c r="J73" i="11" s="1"/>
  <c r="K73" i="11" s="1"/>
  <c r="M73" i="11" s="1"/>
  <c r="N73" i="11" s="1"/>
  <c r="E74" i="11"/>
  <c r="G74" i="11"/>
  <c r="I74" i="11" s="1"/>
  <c r="J74" i="11" s="1"/>
  <c r="K74" i="11" s="1"/>
  <c r="M74" i="11" s="1"/>
  <c r="N74" i="11" s="1"/>
  <c r="E75" i="11"/>
  <c r="G75" i="11"/>
  <c r="I75" i="11" s="1"/>
  <c r="J75" i="11" s="1"/>
  <c r="K75" i="11" s="1"/>
  <c r="M75" i="11" s="1"/>
  <c r="N75" i="11" s="1"/>
  <c r="E76" i="11"/>
  <c r="G76" i="11"/>
  <c r="I76" i="11" s="1"/>
  <c r="J76" i="11" s="1"/>
  <c r="K76" i="11" s="1"/>
  <c r="M76" i="11" s="1"/>
  <c r="N76" i="11" s="1"/>
  <c r="E77" i="11"/>
  <c r="G77" i="11"/>
  <c r="I77" i="11" s="1"/>
  <c r="J77" i="11" s="1"/>
  <c r="K77" i="11" s="1"/>
  <c r="M77" i="11" s="1"/>
  <c r="N77" i="11" s="1"/>
  <c r="E78" i="11"/>
  <c r="G78" i="11"/>
  <c r="I78" i="11" s="1"/>
  <c r="J78" i="11" s="1"/>
  <c r="K78" i="11" s="1"/>
  <c r="M78" i="11" s="1"/>
  <c r="N78" i="11" s="1"/>
  <c r="E79" i="11"/>
  <c r="G79" i="11"/>
  <c r="I79" i="11" s="1"/>
  <c r="J79" i="11" s="1"/>
  <c r="K79" i="11" s="1"/>
  <c r="M79" i="11" s="1"/>
  <c r="N79" i="11" s="1"/>
  <c r="E80" i="11"/>
  <c r="G80" i="11"/>
  <c r="I80" i="11" s="1"/>
  <c r="J80" i="11" s="1"/>
  <c r="K80" i="11" s="1"/>
  <c r="M80" i="11" s="1"/>
  <c r="N80" i="11" s="1"/>
  <c r="E81" i="11"/>
  <c r="G81" i="11"/>
  <c r="I81" i="11" s="1"/>
  <c r="J81" i="11" s="1"/>
  <c r="K81" i="11" s="1"/>
  <c r="M81" i="11" s="1"/>
  <c r="N81" i="11" s="1"/>
  <c r="E82" i="11"/>
  <c r="G82" i="11"/>
  <c r="I82" i="11" s="1"/>
  <c r="J82" i="11" s="1"/>
  <c r="K82" i="11" s="1"/>
  <c r="M82" i="11" s="1"/>
  <c r="N82" i="11" s="1"/>
  <c r="E83" i="11"/>
  <c r="G83" i="11"/>
  <c r="I83" i="11" s="1"/>
  <c r="J83" i="11" s="1"/>
  <c r="K83" i="11" s="1"/>
  <c r="M83" i="11" s="1"/>
  <c r="N83" i="11" s="1"/>
  <c r="E84" i="11"/>
  <c r="G84" i="11"/>
  <c r="I84" i="11" s="1"/>
  <c r="J84" i="11" s="1"/>
  <c r="K84" i="11" s="1"/>
  <c r="M84" i="11" s="1"/>
  <c r="N84" i="11" s="1"/>
  <c r="E85" i="11"/>
  <c r="G85" i="11"/>
  <c r="I85" i="11" s="1"/>
  <c r="J85" i="11" s="1"/>
  <c r="K85" i="11" s="1"/>
  <c r="M85" i="11" s="1"/>
  <c r="N85" i="11" s="1"/>
  <c r="E86" i="11"/>
  <c r="G86" i="11"/>
  <c r="I86" i="11" s="1"/>
  <c r="J86" i="11" s="1"/>
  <c r="K86" i="11" s="1"/>
  <c r="M86" i="11" s="1"/>
  <c r="N86" i="11" s="1"/>
  <c r="E87" i="11"/>
  <c r="G87" i="11"/>
  <c r="I87" i="11" s="1"/>
  <c r="J87" i="11" s="1"/>
  <c r="K87" i="11" s="1"/>
  <c r="M87" i="11" s="1"/>
  <c r="N87" i="11" s="1"/>
  <c r="E88" i="11"/>
  <c r="G88" i="11"/>
  <c r="I88" i="11" s="1"/>
  <c r="J88" i="11" s="1"/>
  <c r="K88" i="11" s="1"/>
  <c r="M88" i="11" s="1"/>
  <c r="N88" i="11" s="1"/>
  <c r="E89" i="11"/>
  <c r="G89" i="11"/>
  <c r="I89" i="11" s="1"/>
  <c r="J89" i="11" s="1"/>
  <c r="K89" i="11" s="1"/>
  <c r="M89" i="11" s="1"/>
  <c r="N89" i="11" s="1"/>
  <c r="E90" i="11"/>
  <c r="G90" i="11"/>
  <c r="I90" i="11" s="1"/>
  <c r="J90" i="11" s="1"/>
  <c r="K90" i="11" s="1"/>
  <c r="M90" i="11" s="1"/>
  <c r="N90" i="11" s="1"/>
  <c r="E91" i="11"/>
  <c r="G91" i="11"/>
  <c r="I91" i="11" s="1"/>
  <c r="J91" i="11" s="1"/>
  <c r="K91" i="11" s="1"/>
  <c r="M91" i="11" s="1"/>
  <c r="N91" i="11" s="1"/>
  <c r="E92" i="11"/>
  <c r="G92" i="11"/>
  <c r="I92" i="11" s="1"/>
  <c r="J92" i="11" s="1"/>
  <c r="K92" i="11" s="1"/>
  <c r="M92" i="11" s="1"/>
  <c r="N92" i="11" s="1"/>
  <c r="E93" i="11"/>
  <c r="G93" i="11"/>
  <c r="I93" i="11" s="1"/>
  <c r="J93" i="11" s="1"/>
  <c r="K93" i="11" s="1"/>
  <c r="M93" i="11" s="1"/>
  <c r="N93" i="11" s="1"/>
  <c r="E94" i="11"/>
  <c r="G94" i="11"/>
  <c r="I94" i="11" s="1"/>
  <c r="J94" i="11" s="1"/>
  <c r="K94" i="11" s="1"/>
  <c r="M94" i="11" s="1"/>
  <c r="N94" i="11" s="1"/>
  <c r="E95" i="11"/>
  <c r="G95" i="11"/>
  <c r="I95" i="11" s="1"/>
  <c r="J95" i="11" s="1"/>
  <c r="K95" i="11" s="1"/>
  <c r="M95" i="11" s="1"/>
  <c r="N95" i="11" s="1"/>
  <c r="E96" i="11"/>
  <c r="G96" i="11"/>
  <c r="I96" i="11" s="1"/>
  <c r="J96" i="11" s="1"/>
  <c r="K96" i="11" s="1"/>
  <c r="M96" i="11" s="1"/>
  <c r="N96" i="11" s="1"/>
  <c r="A97" i="11"/>
  <c r="B97" i="11"/>
  <c r="C97" i="11"/>
  <c r="D97" i="11"/>
  <c r="F97" i="11"/>
  <c r="H97" i="11"/>
  <c r="L97" i="11"/>
  <c r="E2" i="10"/>
  <c r="G2" i="10" s="1"/>
  <c r="H2" i="10" s="1"/>
  <c r="E3" i="10"/>
  <c r="G3" i="10" s="1"/>
  <c r="H3" i="10" s="1"/>
  <c r="E4" i="10"/>
  <c r="G4" i="10" s="1"/>
  <c r="H4" i="10" s="1"/>
  <c r="E5" i="10"/>
  <c r="G5" i="10" s="1"/>
  <c r="H5" i="10" s="1"/>
  <c r="E6" i="10"/>
  <c r="G6" i="10" s="1"/>
  <c r="H6" i="10" s="1"/>
  <c r="E7" i="10"/>
  <c r="G7" i="10" s="1"/>
  <c r="H7" i="10" s="1"/>
  <c r="E8" i="10"/>
  <c r="G8" i="10" s="1"/>
  <c r="H8" i="10" s="1"/>
  <c r="E9" i="10"/>
  <c r="G9" i="10" s="1"/>
  <c r="H9" i="10" s="1"/>
  <c r="E10" i="10"/>
  <c r="G10" i="10" s="1"/>
  <c r="H10" i="10" s="1"/>
  <c r="E11" i="10"/>
  <c r="G11" i="10" s="1"/>
  <c r="H11" i="10" s="1"/>
  <c r="E12" i="10"/>
  <c r="G12" i="10" s="1"/>
  <c r="H12" i="10" s="1"/>
  <c r="E13" i="10"/>
  <c r="G13" i="10" s="1"/>
  <c r="H13" i="10" s="1"/>
  <c r="E14" i="10"/>
  <c r="G14" i="10" s="1"/>
  <c r="H14" i="10" s="1"/>
  <c r="E15" i="10"/>
  <c r="G15" i="10" s="1"/>
  <c r="H15" i="10" s="1"/>
  <c r="E16" i="10"/>
  <c r="G16" i="10" s="1"/>
  <c r="H16" i="10" s="1"/>
  <c r="E17" i="10"/>
  <c r="G17" i="10" s="1"/>
  <c r="H17" i="10" s="1"/>
  <c r="E18" i="10"/>
  <c r="G18" i="10" s="1"/>
  <c r="H18" i="10" s="1"/>
  <c r="E19" i="10"/>
  <c r="G19" i="10" s="1"/>
  <c r="H19" i="10" s="1"/>
  <c r="E20" i="10"/>
  <c r="G20" i="10" s="1"/>
  <c r="H20" i="10" s="1"/>
  <c r="E21" i="10"/>
  <c r="G21" i="10" s="1"/>
  <c r="H21" i="10" s="1"/>
  <c r="E22" i="10"/>
  <c r="G22" i="10" s="1"/>
  <c r="H22" i="10" s="1"/>
  <c r="E23" i="10"/>
  <c r="G23" i="10" s="1"/>
  <c r="H23" i="10" s="1"/>
  <c r="E24" i="10"/>
  <c r="G24" i="10" s="1"/>
  <c r="H24" i="10" s="1"/>
  <c r="E25" i="10"/>
  <c r="G25" i="10" s="1"/>
  <c r="H25" i="10" s="1"/>
  <c r="E26" i="10"/>
  <c r="G26" i="10" s="1"/>
  <c r="H26" i="10" s="1"/>
  <c r="E27" i="10"/>
  <c r="G27" i="10" s="1"/>
  <c r="H27" i="10" s="1"/>
  <c r="E28" i="10"/>
  <c r="G28" i="10" s="1"/>
  <c r="H28" i="10" s="1"/>
  <c r="E29" i="10"/>
  <c r="G29" i="10" s="1"/>
  <c r="H29" i="10" s="1"/>
  <c r="E30" i="10"/>
  <c r="G30" i="10" s="1"/>
  <c r="H30" i="10" s="1"/>
  <c r="E31" i="10"/>
  <c r="G31" i="10" s="1"/>
  <c r="H31" i="10" s="1"/>
  <c r="E32" i="10"/>
  <c r="G32" i="10" s="1"/>
  <c r="H32" i="10" s="1"/>
  <c r="E33" i="10"/>
  <c r="G33" i="10" s="1"/>
  <c r="H33" i="10" s="1"/>
  <c r="E34" i="10"/>
  <c r="G34" i="10" s="1"/>
  <c r="H34" i="10" s="1"/>
  <c r="E35" i="10"/>
  <c r="G35" i="10" s="1"/>
  <c r="H35" i="10" s="1"/>
  <c r="E36" i="10"/>
  <c r="G36" i="10" s="1"/>
  <c r="H36" i="10" s="1"/>
  <c r="E37" i="10"/>
  <c r="G37" i="10" s="1"/>
  <c r="H37" i="10" s="1"/>
  <c r="E38" i="10"/>
  <c r="G38" i="10" s="1"/>
  <c r="H38" i="10" s="1"/>
  <c r="E39" i="10"/>
  <c r="G39" i="10" s="1"/>
  <c r="E40" i="10"/>
  <c r="G40" i="10" s="1"/>
  <c r="H40" i="10" s="1"/>
  <c r="E41" i="10"/>
  <c r="G41" i="10" s="1"/>
  <c r="H41" i="10" s="1"/>
  <c r="E42" i="10"/>
  <c r="G42" i="10" s="1"/>
  <c r="H42" i="10" s="1"/>
  <c r="E43" i="10"/>
  <c r="G43" i="10" s="1"/>
  <c r="H43" i="10" s="1"/>
  <c r="E44" i="10"/>
  <c r="G44" i="10" s="1"/>
  <c r="H44" i="10" s="1"/>
  <c r="E45" i="10"/>
  <c r="G45" i="10" s="1"/>
  <c r="H45" i="10" s="1"/>
  <c r="E46" i="10"/>
  <c r="G46" i="10" s="1"/>
  <c r="H46" i="10" s="1"/>
  <c r="E47" i="10"/>
  <c r="G47" i="10" s="1"/>
  <c r="H47" i="10" s="1"/>
  <c r="E48" i="10"/>
  <c r="G48" i="10" s="1"/>
  <c r="H48" i="10" s="1"/>
  <c r="E49" i="10"/>
  <c r="G49" i="10" s="1"/>
  <c r="H49" i="10" s="1"/>
  <c r="E50" i="10"/>
  <c r="G50" i="10" s="1"/>
  <c r="H50" i="10" s="1"/>
  <c r="E51" i="10"/>
  <c r="G51" i="10" s="1"/>
  <c r="H51" i="10" s="1"/>
  <c r="E52" i="10"/>
  <c r="G52" i="10" s="1"/>
  <c r="H52" i="10" s="1"/>
  <c r="E53" i="10"/>
  <c r="G53" i="10" s="1"/>
  <c r="H53" i="10" s="1"/>
  <c r="E54" i="10"/>
  <c r="G54" i="10" s="1"/>
  <c r="H54" i="10" s="1"/>
  <c r="E55" i="10"/>
  <c r="G55" i="10" s="1"/>
  <c r="H55" i="10" s="1"/>
  <c r="E56" i="10"/>
  <c r="G56" i="10" s="1"/>
  <c r="H56" i="10" s="1"/>
  <c r="E57" i="10"/>
  <c r="G57" i="10" s="1"/>
  <c r="H57" i="10" s="1"/>
  <c r="E58" i="10"/>
  <c r="G58" i="10" s="1"/>
  <c r="H58" i="10" s="1"/>
  <c r="E59" i="10"/>
  <c r="G59" i="10" s="1"/>
  <c r="H59" i="10" s="1"/>
  <c r="E60" i="10"/>
  <c r="G60" i="10" s="1"/>
  <c r="H60" i="10" s="1"/>
  <c r="E61" i="10"/>
  <c r="G61" i="10" s="1"/>
  <c r="H61" i="10" s="1"/>
  <c r="E62" i="10"/>
  <c r="G62" i="10" s="1"/>
  <c r="H62" i="10" s="1"/>
  <c r="E63" i="10"/>
  <c r="G63" i="10" s="1"/>
  <c r="H63" i="10" s="1"/>
  <c r="E64" i="10"/>
  <c r="G64" i="10" s="1"/>
  <c r="H64" i="10" s="1"/>
  <c r="E65" i="10"/>
  <c r="G65" i="10" s="1"/>
  <c r="H65" i="10" s="1"/>
  <c r="E66" i="10"/>
  <c r="G66" i="10" s="1"/>
  <c r="H66" i="10" s="1"/>
  <c r="E67" i="10"/>
  <c r="G67" i="10" s="1"/>
  <c r="H67" i="10" s="1"/>
  <c r="E68" i="10"/>
  <c r="G68" i="10" s="1"/>
  <c r="H68" i="10" s="1"/>
  <c r="E69" i="10"/>
  <c r="G69" i="10" s="1"/>
  <c r="H69" i="10" s="1"/>
  <c r="E70" i="10"/>
  <c r="G70" i="10" s="1"/>
  <c r="H70" i="10" s="1"/>
  <c r="E71" i="10"/>
  <c r="G71" i="10" s="1"/>
  <c r="H71" i="10" s="1"/>
  <c r="E72" i="10"/>
  <c r="G72" i="10" s="1"/>
  <c r="H72" i="10" s="1"/>
  <c r="E73" i="10"/>
  <c r="G73" i="10" s="1"/>
  <c r="H73" i="10" s="1"/>
  <c r="E74" i="10"/>
  <c r="G74" i="10" s="1"/>
  <c r="H74" i="10" s="1"/>
  <c r="E75" i="10"/>
  <c r="G75" i="10" s="1"/>
  <c r="H75" i="10" s="1"/>
  <c r="E76" i="10"/>
  <c r="G76" i="10" s="1"/>
  <c r="H76" i="10" s="1"/>
  <c r="E77" i="10"/>
  <c r="G77" i="10" s="1"/>
  <c r="H77" i="10" s="1"/>
  <c r="E78" i="10"/>
  <c r="G78" i="10" s="1"/>
  <c r="H78" i="10" s="1"/>
  <c r="E79" i="10"/>
  <c r="G79" i="10" s="1"/>
  <c r="H79" i="10" s="1"/>
  <c r="E80" i="10"/>
  <c r="G80" i="10" s="1"/>
  <c r="H80" i="10" s="1"/>
  <c r="E81" i="10"/>
  <c r="G81" i="10" s="1"/>
  <c r="H81" i="10" s="1"/>
  <c r="E82" i="10"/>
  <c r="G82" i="10" s="1"/>
  <c r="H82" i="10" s="1"/>
  <c r="E83" i="10"/>
  <c r="G83" i="10" s="1"/>
  <c r="H83" i="10" s="1"/>
  <c r="E84" i="10"/>
  <c r="G84" i="10" s="1"/>
  <c r="H84" i="10" s="1"/>
  <c r="E85" i="10"/>
  <c r="G85" i="10" s="1"/>
  <c r="H85" i="10" s="1"/>
  <c r="E86" i="10"/>
  <c r="G86" i="10" s="1"/>
  <c r="H86" i="10" s="1"/>
  <c r="E87" i="10"/>
  <c r="G87" i="10" s="1"/>
  <c r="H87" i="10" s="1"/>
  <c r="E88" i="10"/>
  <c r="G88" i="10" s="1"/>
  <c r="H88" i="10" s="1"/>
  <c r="E89" i="10"/>
  <c r="G89" i="10" s="1"/>
  <c r="H89" i="10" s="1"/>
  <c r="E90" i="10"/>
  <c r="G90" i="10" s="1"/>
  <c r="H90" i="10" s="1"/>
  <c r="E91" i="10"/>
  <c r="G91" i="10" s="1"/>
  <c r="H91" i="10" s="1"/>
  <c r="E92" i="10"/>
  <c r="G92" i="10" s="1"/>
  <c r="H92" i="10" s="1"/>
  <c r="E93" i="10"/>
  <c r="G93" i="10" s="1"/>
  <c r="H93" i="10" s="1"/>
  <c r="E94" i="10"/>
  <c r="G94" i="10" s="1"/>
  <c r="H94" i="10" s="1"/>
  <c r="E95" i="10"/>
  <c r="G95" i="10" s="1"/>
  <c r="H95" i="10" s="1"/>
  <c r="E96" i="10"/>
  <c r="G96" i="10" s="1"/>
  <c r="H96" i="10" s="1"/>
  <c r="E97" i="10"/>
  <c r="G97" i="10" s="1"/>
  <c r="H97" i="10" s="1"/>
  <c r="A98" i="10"/>
  <c r="B98" i="10"/>
  <c r="C98" i="10"/>
  <c r="D98" i="10"/>
  <c r="F98" i="10"/>
  <c r="C2" i="9"/>
  <c r="F2" i="9" s="1"/>
  <c r="C3" i="9"/>
  <c r="F3" i="9" s="1"/>
  <c r="G3" i="9" s="1"/>
  <c r="C4" i="9"/>
  <c r="F4" i="9" s="1"/>
  <c r="C5" i="9"/>
  <c r="F5" i="9" s="1"/>
  <c r="G5" i="9" s="1"/>
  <c r="C6" i="9"/>
  <c r="F6" i="9" s="1"/>
  <c r="G6" i="9" s="1"/>
  <c r="C7" i="9"/>
  <c r="F7" i="9" s="1"/>
  <c r="G7" i="9" s="1"/>
  <c r="C8" i="9"/>
  <c r="F8" i="9" s="1"/>
  <c r="G8" i="9" s="1"/>
  <c r="C9" i="9"/>
  <c r="F9" i="9" s="1"/>
  <c r="G9" i="9" s="1"/>
  <c r="C10" i="9"/>
  <c r="F10" i="9" s="1"/>
  <c r="G10" i="9" s="1"/>
  <c r="C11" i="9"/>
  <c r="F11" i="9" s="1"/>
  <c r="G11" i="9" s="1"/>
  <c r="C12" i="9"/>
  <c r="F12" i="9" s="1"/>
  <c r="G12" i="9" s="1"/>
  <c r="C13" i="9"/>
  <c r="F13" i="9" s="1"/>
  <c r="G13" i="9" s="1"/>
  <c r="C14" i="9"/>
  <c r="F14" i="9" s="1"/>
  <c r="G14" i="9" s="1"/>
  <c r="C15" i="9"/>
  <c r="F15" i="9" s="1"/>
  <c r="G15" i="9" s="1"/>
  <c r="C16" i="9"/>
  <c r="F16" i="9" s="1"/>
  <c r="G16" i="9" s="1"/>
  <c r="C17" i="9"/>
  <c r="F17" i="9" s="1"/>
  <c r="G17" i="9" s="1"/>
  <c r="C18" i="9"/>
  <c r="F18" i="9" s="1"/>
  <c r="G18" i="9" s="1"/>
  <c r="C19" i="9"/>
  <c r="F19" i="9" s="1"/>
  <c r="G19" i="9" s="1"/>
  <c r="C20" i="9"/>
  <c r="F20" i="9" s="1"/>
  <c r="G20" i="9" s="1"/>
  <c r="C21" i="9"/>
  <c r="F21" i="9" s="1"/>
  <c r="G21" i="9" s="1"/>
  <c r="C22" i="9"/>
  <c r="F22" i="9" s="1"/>
  <c r="G22" i="9" s="1"/>
  <c r="C23" i="9"/>
  <c r="F23" i="9" s="1"/>
  <c r="G23" i="9" s="1"/>
  <c r="C24" i="9"/>
  <c r="F24" i="9" s="1"/>
  <c r="G24" i="9" s="1"/>
  <c r="C25" i="9"/>
  <c r="F25" i="9" s="1"/>
  <c r="G25" i="9" s="1"/>
  <c r="C26" i="9"/>
  <c r="F26" i="9" s="1"/>
  <c r="G26" i="9" s="1"/>
  <c r="C27" i="9"/>
  <c r="F27" i="9" s="1"/>
  <c r="G27" i="9" s="1"/>
  <c r="C28" i="9"/>
  <c r="F28" i="9" s="1"/>
  <c r="G28" i="9" s="1"/>
  <c r="C29" i="9"/>
  <c r="F29" i="9" s="1"/>
  <c r="G29" i="9" s="1"/>
  <c r="C30" i="9"/>
  <c r="F30" i="9" s="1"/>
  <c r="G30" i="9" s="1"/>
  <c r="C31" i="9"/>
  <c r="F31" i="9" s="1"/>
  <c r="G31" i="9" s="1"/>
  <c r="C32" i="9"/>
  <c r="F32" i="9" s="1"/>
  <c r="G32" i="9" s="1"/>
  <c r="C33" i="9"/>
  <c r="F33" i="9" s="1"/>
  <c r="G33" i="9" s="1"/>
  <c r="C34" i="9"/>
  <c r="F34" i="9" s="1"/>
  <c r="G34" i="9" s="1"/>
  <c r="C35" i="9"/>
  <c r="F35" i="9" s="1"/>
  <c r="G35" i="9" s="1"/>
  <c r="C36" i="9"/>
  <c r="F36" i="9" s="1"/>
  <c r="G36" i="9" s="1"/>
  <c r="C37" i="9"/>
  <c r="F37" i="9" s="1"/>
  <c r="G37" i="9" s="1"/>
  <c r="C38" i="9"/>
  <c r="F38" i="9" s="1"/>
  <c r="G38" i="9" s="1"/>
  <c r="C39" i="9"/>
  <c r="F39" i="9" s="1"/>
  <c r="G39" i="9" s="1"/>
  <c r="C40" i="9"/>
  <c r="F40" i="9" s="1"/>
  <c r="G40" i="9" s="1"/>
  <c r="C41" i="9"/>
  <c r="F41" i="9" s="1"/>
  <c r="G41" i="9" s="1"/>
  <c r="C42" i="9"/>
  <c r="F42" i="9" s="1"/>
  <c r="G42" i="9" s="1"/>
  <c r="C43" i="9"/>
  <c r="F43" i="9" s="1"/>
  <c r="G43" i="9" s="1"/>
  <c r="C44" i="9"/>
  <c r="F44" i="9" s="1"/>
  <c r="G44" i="9" s="1"/>
  <c r="C45" i="9"/>
  <c r="F45" i="9" s="1"/>
  <c r="G45" i="9" s="1"/>
  <c r="C46" i="9"/>
  <c r="F46" i="9" s="1"/>
  <c r="G46" i="9" s="1"/>
  <c r="C47" i="9"/>
  <c r="F47" i="9" s="1"/>
  <c r="G47" i="9" s="1"/>
  <c r="C48" i="9"/>
  <c r="F48" i="9" s="1"/>
  <c r="G48" i="9" s="1"/>
  <c r="C49" i="9"/>
  <c r="F49" i="9" s="1"/>
  <c r="G49" i="9" s="1"/>
  <c r="C50" i="9"/>
  <c r="F50" i="9" s="1"/>
  <c r="G50" i="9" s="1"/>
  <c r="C51" i="9"/>
  <c r="F51" i="9" s="1"/>
  <c r="G51" i="9" s="1"/>
  <c r="C52" i="9"/>
  <c r="F52" i="9" s="1"/>
  <c r="G52" i="9" s="1"/>
  <c r="C53" i="9"/>
  <c r="F53" i="9" s="1"/>
  <c r="G53" i="9" s="1"/>
  <c r="C54" i="9"/>
  <c r="F54" i="9" s="1"/>
  <c r="G54" i="9" s="1"/>
  <c r="C55" i="9"/>
  <c r="F55" i="9" s="1"/>
  <c r="G55" i="9" s="1"/>
  <c r="C56" i="9"/>
  <c r="F56" i="9" s="1"/>
  <c r="G56" i="9" s="1"/>
  <c r="C57" i="9"/>
  <c r="F57" i="9" s="1"/>
  <c r="G57" i="9" s="1"/>
  <c r="C58" i="9"/>
  <c r="F58" i="9" s="1"/>
  <c r="G58" i="9" s="1"/>
  <c r="C59" i="9"/>
  <c r="F59" i="9" s="1"/>
  <c r="G59" i="9" s="1"/>
  <c r="C60" i="9"/>
  <c r="F60" i="9" s="1"/>
  <c r="G60" i="9" s="1"/>
  <c r="C61" i="9"/>
  <c r="F61" i="9" s="1"/>
  <c r="G61" i="9" s="1"/>
  <c r="C62" i="9"/>
  <c r="F62" i="9" s="1"/>
  <c r="G62" i="9" s="1"/>
  <c r="C63" i="9"/>
  <c r="F63" i="9" s="1"/>
  <c r="G63" i="9" s="1"/>
  <c r="C64" i="9"/>
  <c r="F64" i="9" s="1"/>
  <c r="G64" i="9" s="1"/>
  <c r="C65" i="9"/>
  <c r="F65" i="9" s="1"/>
  <c r="G65" i="9" s="1"/>
  <c r="C66" i="9"/>
  <c r="F66" i="9" s="1"/>
  <c r="G66" i="9" s="1"/>
  <c r="C67" i="9"/>
  <c r="F67" i="9" s="1"/>
  <c r="G67" i="9" s="1"/>
  <c r="C68" i="9"/>
  <c r="F68" i="9" s="1"/>
  <c r="G68" i="9" s="1"/>
  <c r="C69" i="9"/>
  <c r="F69" i="9" s="1"/>
  <c r="G69" i="9" s="1"/>
  <c r="C70" i="9"/>
  <c r="F70" i="9" s="1"/>
  <c r="G70" i="9" s="1"/>
  <c r="C71" i="9"/>
  <c r="F71" i="9" s="1"/>
  <c r="G71" i="9" s="1"/>
  <c r="C72" i="9"/>
  <c r="F72" i="9" s="1"/>
  <c r="G72" i="9" s="1"/>
  <c r="C73" i="9"/>
  <c r="F73" i="9" s="1"/>
  <c r="G73" i="9" s="1"/>
  <c r="C74" i="9"/>
  <c r="F74" i="9" s="1"/>
  <c r="G74" i="9" s="1"/>
  <c r="C75" i="9"/>
  <c r="F75" i="9" s="1"/>
  <c r="G75" i="9" s="1"/>
  <c r="C76" i="9"/>
  <c r="F76" i="9" s="1"/>
  <c r="G76" i="9" s="1"/>
  <c r="C77" i="9"/>
  <c r="F77" i="9" s="1"/>
  <c r="G77" i="9" s="1"/>
  <c r="C78" i="9"/>
  <c r="F78" i="9" s="1"/>
  <c r="G78" i="9" s="1"/>
  <c r="C79" i="9"/>
  <c r="F79" i="9" s="1"/>
  <c r="G79" i="9" s="1"/>
  <c r="C80" i="9"/>
  <c r="F80" i="9" s="1"/>
  <c r="G80" i="9" s="1"/>
  <c r="C81" i="9"/>
  <c r="F81" i="9" s="1"/>
  <c r="G81" i="9" s="1"/>
  <c r="C82" i="9"/>
  <c r="F82" i="9" s="1"/>
  <c r="G82" i="9" s="1"/>
  <c r="C83" i="9"/>
  <c r="F83" i="9" s="1"/>
  <c r="G83" i="9" s="1"/>
  <c r="C84" i="9"/>
  <c r="F84" i="9" s="1"/>
  <c r="G84" i="9" s="1"/>
  <c r="C85" i="9"/>
  <c r="F85" i="9" s="1"/>
  <c r="G85" i="9" s="1"/>
  <c r="C86" i="9"/>
  <c r="F86" i="9" s="1"/>
  <c r="G86" i="9" s="1"/>
  <c r="C87" i="9"/>
  <c r="F87" i="9" s="1"/>
  <c r="G87" i="9" s="1"/>
  <c r="C88" i="9"/>
  <c r="F88" i="9" s="1"/>
  <c r="G88" i="9" s="1"/>
  <c r="C89" i="9"/>
  <c r="F89" i="9" s="1"/>
  <c r="G89" i="9" s="1"/>
  <c r="C90" i="9"/>
  <c r="F90" i="9" s="1"/>
  <c r="G90" i="9" s="1"/>
  <c r="C91" i="9"/>
  <c r="F91" i="9" s="1"/>
  <c r="G91" i="9" s="1"/>
  <c r="C92" i="9"/>
  <c r="F92" i="9" s="1"/>
  <c r="G92" i="9" s="1"/>
  <c r="C93" i="9"/>
  <c r="F93" i="9" s="1"/>
  <c r="G93" i="9" s="1"/>
  <c r="C94" i="9"/>
  <c r="F94" i="9" s="1"/>
  <c r="G94" i="9" s="1"/>
  <c r="C95" i="9"/>
  <c r="F95" i="9" s="1"/>
  <c r="G95" i="9" s="1"/>
  <c r="C96" i="9"/>
  <c r="F96" i="9" s="1"/>
  <c r="C97" i="9"/>
  <c r="F97" i="9" s="1"/>
  <c r="B98" i="9"/>
  <c r="D98" i="9"/>
  <c r="E98" i="9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B102" i="8"/>
  <c r="C102" i="8"/>
  <c r="D102" i="8"/>
  <c r="E102" i="8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B99" i="7"/>
  <c r="C99" i="7"/>
  <c r="D99" i="7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A100" i="6"/>
  <c r="B100" i="6"/>
  <c r="C100" i="6"/>
  <c r="E2" i="5"/>
  <c r="F2" i="5"/>
  <c r="E3" i="5"/>
  <c r="F3" i="5"/>
  <c r="G3" i="5" s="1"/>
  <c r="H3" i="5" s="1"/>
  <c r="E4" i="5"/>
  <c r="F4" i="5"/>
  <c r="G4" i="5" s="1"/>
  <c r="E5" i="5"/>
  <c r="F5" i="5"/>
  <c r="G5" i="5" s="1"/>
  <c r="H5" i="5" s="1"/>
  <c r="E6" i="5"/>
  <c r="F6" i="5"/>
  <c r="G6" i="5" s="1"/>
  <c r="H6" i="5" s="1"/>
  <c r="E7" i="5"/>
  <c r="F7" i="5"/>
  <c r="G7" i="5" s="1"/>
  <c r="H7" i="5" s="1"/>
  <c r="E8" i="5"/>
  <c r="F8" i="5"/>
  <c r="G8" i="5" s="1"/>
  <c r="H8" i="5" s="1"/>
  <c r="E9" i="5"/>
  <c r="F9" i="5"/>
  <c r="G9" i="5" s="1"/>
  <c r="H9" i="5" s="1"/>
  <c r="E10" i="5"/>
  <c r="F10" i="5"/>
  <c r="G10" i="5" s="1"/>
  <c r="H10" i="5" s="1"/>
  <c r="E11" i="5"/>
  <c r="F11" i="5"/>
  <c r="G11" i="5" s="1"/>
  <c r="H11" i="5" s="1"/>
  <c r="E12" i="5"/>
  <c r="F12" i="5"/>
  <c r="G12" i="5" s="1"/>
  <c r="H12" i="5" s="1"/>
  <c r="E13" i="5"/>
  <c r="F13" i="5"/>
  <c r="G13" i="5" s="1"/>
  <c r="H13" i="5" s="1"/>
  <c r="E14" i="5"/>
  <c r="F14" i="5"/>
  <c r="G14" i="5" s="1"/>
  <c r="H14" i="5" s="1"/>
  <c r="E15" i="5"/>
  <c r="F15" i="5"/>
  <c r="G15" i="5" s="1"/>
  <c r="H15" i="5" s="1"/>
  <c r="E16" i="5"/>
  <c r="F16" i="5"/>
  <c r="G16" i="5" s="1"/>
  <c r="H16" i="5" s="1"/>
  <c r="E17" i="5"/>
  <c r="F17" i="5"/>
  <c r="G17" i="5" s="1"/>
  <c r="H17" i="5" s="1"/>
  <c r="E18" i="5"/>
  <c r="F18" i="5"/>
  <c r="G18" i="5" s="1"/>
  <c r="H18" i="5" s="1"/>
  <c r="E19" i="5"/>
  <c r="F19" i="5"/>
  <c r="G19" i="5" s="1"/>
  <c r="H19" i="5" s="1"/>
  <c r="E20" i="5"/>
  <c r="F20" i="5"/>
  <c r="G20" i="5" s="1"/>
  <c r="H20" i="5" s="1"/>
  <c r="E21" i="5"/>
  <c r="F21" i="5"/>
  <c r="G21" i="5" s="1"/>
  <c r="H21" i="5" s="1"/>
  <c r="E22" i="5"/>
  <c r="F22" i="5"/>
  <c r="G22" i="5" s="1"/>
  <c r="H22" i="5" s="1"/>
  <c r="E23" i="5"/>
  <c r="F23" i="5"/>
  <c r="G23" i="5" s="1"/>
  <c r="H23" i="5" s="1"/>
  <c r="E24" i="5"/>
  <c r="F24" i="5"/>
  <c r="G24" i="5" s="1"/>
  <c r="H24" i="5" s="1"/>
  <c r="E25" i="5"/>
  <c r="F25" i="5"/>
  <c r="G25" i="5" s="1"/>
  <c r="H25" i="5" s="1"/>
  <c r="E26" i="5"/>
  <c r="F26" i="5"/>
  <c r="G26" i="5" s="1"/>
  <c r="H26" i="5" s="1"/>
  <c r="E27" i="5"/>
  <c r="F27" i="5"/>
  <c r="G27" i="5" s="1"/>
  <c r="H27" i="5" s="1"/>
  <c r="E28" i="5"/>
  <c r="F28" i="5"/>
  <c r="G28" i="5" s="1"/>
  <c r="H28" i="5" s="1"/>
  <c r="E29" i="5"/>
  <c r="F29" i="5"/>
  <c r="G29" i="5" s="1"/>
  <c r="H29" i="5" s="1"/>
  <c r="E30" i="5"/>
  <c r="F30" i="5"/>
  <c r="G30" i="5" s="1"/>
  <c r="H30" i="5" s="1"/>
  <c r="E31" i="5"/>
  <c r="F31" i="5"/>
  <c r="G31" i="5" s="1"/>
  <c r="H31" i="5" s="1"/>
  <c r="E32" i="5"/>
  <c r="F32" i="5"/>
  <c r="G32" i="5" s="1"/>
  <c r="H32" i="5" s="1"/>
  <c r="E33" i="5"/>
  <c r="F33" i="5"/>
  <c r="G33" i="5" s="1"/>
  <c r="H33" i="5" s="1"/>
  <c r="E34" i="5"/>
  <c r="F34" i="5"/>
  <c r="G34" i="5" s="1"/>
  <c r="H34" i="5" s="1"/>
  <c r="E35" i="5"/>
  <c r="F35" i="5"/>
  <c r="G35" i="5" s="1"/>
  <c r="H35" i="5" s="1"/>
  <c r="E36" i="5"/>
  <c r="F36" i="5"/>
  <c r="G36" i="5" s="1"/>
  <c r="H36" i="5" s="1"/>
  <c r="E37" i="5"/>
  <c r="F37" i="5"/>
  <c r="G37" i="5" s="1"/>
  <c r="H37" i="5" s="1"/>
  <c r="E38" i="5"/>
  <c r="F38" i="5"/>
  <c r="G38" i="5" s="1"/>
  <c r="H38" i="5" s="1"/>
  <c r="E39" i="5"/>
  <c r="F39" i="5"/>
  <c r="G39" i="5" s="1"/>
  <c r="H39" i="5" s="1"/>
  <c r="E40" i="5"/>
  <c r="F40" i="5"/>
  <c r="G40" i="5" s="1"/>
  <c r="H40" i="5" s="1"/>
  <c r="E41" i="5"/>
  <c r="F41" i="5"/>
  <c r="G41" i="5" s="1"/>
  <c r="H41" i="5" s="1"/>
  <c r="E42" i="5"/>
  <c r="F42" i="5"/>
  <c r="G42" i="5" s="1"/>
  <c r="H42" i="5" s="1"/>
  <c r="E43" i="5"/>
  <c r="F43" i="5"/>
  <c r="G43" i="5" s="1"/>
  <c r="H43" i="5" s="1"/>
  <c r="E44" i="5"/>
  <c r="F44" i="5"/>
  <c r="G44" i="5" s="1"/>
  <c r="H44" i="5" s="1"/>
  <c r="E45" i="5"/>
  <c r="F45" i="5"/>
  <c r="G45" i="5" s="1"/>
  <c r="H45" i="5" s="1"/>
  <c r="E46" i="5"/>
  <c r="F46" i="5"/>
  <c r="G46" i="5" s="1"/>
  <c r="H46" i="5" s="1"/>
  <c r="E47" i="5"/>
  <c r="F47" i="5"/>
  <c r="G47" i="5" s="1"/>
  <c r="H47" i="5" s="1"/>
  <c r="E48" i="5"/>
  <c r="F48" i="5"/>
  <c r="G48" i="5" s="1"/>
  <c r="H48" i="5" s="1"/>
  <c r="E49" i="5"/>
  <c r="F49" i="5"/>
  <c r="G49" i="5" s="1"/>
  <c r="H49" i="5" s="1"/>
  <c r="E50" i="5"/>
  <c r="F50" i="5"/>
  <c r="G50" i="5" s="1"/>
  <c r="H50" i="5" s="1"/>
  <c r="E51" i="5"/>
  <c r="F51" i="5"/>
  <c r="G51" i="5" s="1"/>
  <c r="H51" i="5" s="1"/>
  <c r="E52" i="5"/>
  <c r="F52" i="5"/>
  <c r="G52" i="5" s="1"/>
  <c r="H52" i="5" s="1"/>
  <c r="E53" i="5"/>
  <c r="F53" i="5"/>
  <c r="G53" i="5" s="1"/>
  <c r="H53" i="5" s="1"/>
  <c r="E54" i="5"/>
  <c r="F54" i="5"/>
  <c r="G54" i="5" s="1"/>
  <c r="H54" i="5" s="1"/>
  <c r="E55" i="5"/>
  <c r="F55" i="5"/>
  <c r="G55" i="5" s="1"/>
  <c r="H55" i="5" s="1"/>
  <c r="E56" i="5"/>
  <c r="F56" i="5"/>
  <c r="G56" i="5" s="1"/>
  <c r="H56" i="5" s="1"/>
  <c r="E57" i="5"/>
  <c r="F57" i="5"/>
  <c r="G57" i="5" s="1"/>
  <c r="H57" i="5" s="1"/>
  <c r="E58" i="5"/>
  <c r="F58" i="5"/>
  <c r="G58" i="5" s="1"/>
  <c r="H58" i="5" s="1"/>
  <c r="E59" i="5"/>
  <c r="F59" i="5"/>
  <c r="G59" i="5" s="1"/>
  <c r="H59" i="5" s="1"/>
  <c r="E60" i="5"/>
  <c r="F60" i="5"/>
  <c r="G60" i="5" s="1"/>
  <c r="H60" i="5" s="1"/>
  <c r="E61" i="5"/>
  <c r="F61" i="5"/>
  <c r="G61" i="5" s="1"/>
  <c r="H61" i="5" s="1"/>
  <c r="E62" i="5"/>
  <c r="F62" i="5"/>
  <c r="G62" i="5" s="1"/>
  <c r="H62" i="5" s="1"/>
  <c r="E63" i="5"/>
  <c r="F63" i="5"/>
  <c r="G63" i="5" s="1"/>
  <c r="H63" i="5" s="1"/>
  <c r="E64" i="5"/>
  <c r="F64" i="5"/>
  <c r="G64" i="5" s="1"/>
  <c r="H64" i="5" s="1"/>
  <c r="E65" i="5"/>
  <c r="F65" i="5"/>
  <c r="G65" i="5" s="1"/>
  <c r="H65" i="5" s="1"/>
  <c r="E66" i="5"/>
  <c r="F66" i="5"/>
  <c r="G66" i="5" s="1"/>
  <c r="H66" i="5" s="1"/>
  <c r="E67" i="5"/>
  <c r="F67" i="5"/>
  <c r="G67" i="5" s="1"/>
  <c r="H67" i="5" s="1"/>
  <c r="E68" i="5"/>
  <c r="F68" i="5"/>
  <c r="G68" i="5" s="1"/>
  <c r="H68" i="5" s="1"/>
  <c r="E69" i="5"/>
  <c r="F69" i="5"/>
  <c r="G69" i="5" s="1"/>
  <c r="H69" i="5" s="1"/>
  <c r="E70" i="5"/>
  <c r="F70" i="5"/>
  <c r="G70" i="5" s="1"/>
  <c r="H70" i="5" s="1"/>
  <c r="E71" i="5"/>
  <c r="F71" i="5"/>
  <c r="G71" i="5" s="1"/>
  <c r="H71" i="5" s="1"/>
  <c r="E72" i="5"/>
  <c r="F72" i="5"/>
  <c r="G72" i="5" s="1"/>
  <c r="H72" i="5" s="1"/>
  <c r="E73" i="5"/>
  <c r="F73" i="5"/>
  <c r="G73" i="5" s="1"/>
  <c r="H73" i="5" s="1"/>
  <c r="E74" i="5"/>
  <c r="F74" i="5"/>
  <c r="G74" i="5" s="1"/>
  <c r="H74" i="5" s="1"/>
  <c r="E75" i="5"/>
  <c r="F75" i="5"/>
  <c r="G75" i="5" s="1"/>
  <c r="H75" i="5" s="1"/>
  <c r="E76" i="5"/>
  <c r="F76" i="5"/>
  <c r="G76" i="5" s="1"/>
  <c r="H76" i="5" s="1"/>
  <c r="E77" i="5"/>
  <c r="F77" i="5"/>
  <c r="G77" i="5" s="1"/>
  <c r="H77" i="5" s="1"/>
  <c r="E78" i="5"/>
  <c r="F78" i="5"/>
  <c r="G78" i="5" s="1"/>
  <c r="H78" i="5" s="1"/>
  <c r="E79" i="5"/>
  <c r="F79" i="5"/>
  <c r="G79" i="5" s="1"/>
  <c r="H79" i="5" s="1"/>
  <c r="E80" i="5"/>
  <c r="F80" i="5"/>
  <c r="G80" i="5" s="1"/>
  <c r="H80" i="5" s="1"/>
  <c r="E81" i="5"/>
  <c r="F81" i="5"/>
  <c r="G81" i="5" s="1"/>
  <c r="H81" i="5" s="1"/>
  <c r="E82" i="5"/>
  <c r="F82" i="5"/>
  <c r="G82" i="5" s="1"/>
  <c r="H82" i="5" s="1"/>
  <c r="E83" i="5"/>
  <c r="F83" i="5"/>
  <c r="G83" i="5" s="1"/>
  <c r="H83" i="5" s="1"/>
  <c r="E84" i="5"/>
  <c r="F84" i="5"/>
  <c r="G84" i="5" s="1"/>
  <c r="H84" i="5" s="1"/>
  <c r="E85" i="5"/>
  <c r="F85" i="5"/>
  <c r="G85" i="5" s="1"/>
  <c r="H85" i="5" s="1"/>
  <c r="E86" i="5"/>
  <c r="F86" i="5"/>
  <c r="G86" i="5" s="1"/>
  <c r="H86" i="5" s="1"/>
  <c r="E87" i="5"/>
  <c r="F87" i="5"/>
  <c r="G87" i="5" s="1"/>
  <c r="H87" i="5" s="1"/>
  <c r="E88" i="5"/>
  <c r="F88" i="5"/>
  <c r="G88" i="5" s="1"/>
  <c r="H88" i="5" s="1"/>
  <c r="E89" i="5"/>
  <c r="F89" i="5"/>
  <c r="G89" i="5" s="1"/>
  <c r="H89" i="5" s="1"/>
  <c r="E90" i="5"/>
  <c r="F90" i="5"/>
  <c r="G90" i="5" s="1"/>
  <c r="H90" i="5" s="1"/>
  <c r="E91" i="5"/>
  <c r="F91" i="5"/>
  <c r="G91" i="5" s="1"/>
  <c r="H91" i="5" s="1"/>
  <c r="E92" i="5"/>
  <c r="F92" i="5"/>
  <c r="G92" i="5" s="1"/>
  <c r="H92" i="5" s="1"/>
  <c r="E93" i="5"/>
  <c r="F93" i="5"/>
  <c r="G93" i="5" s="1"/>
  <c r="H93" i="5" s="1"/>
  <c r="E94" i="5"/>
  <c r="F94" i="5"/>
  <c r="G94" i="5" s="1"/>
  <c r="H94" i="5" s="1"/>
  <c r="E95" i="5"/>
  <c r="F95" i="5"/>
  <c r="G95" i="5" s="1"/>
  <c r="H95" i="5" s="1"/>
  <c r="E96" i="5"/>
  <c r="F96" i="5"/>
  <c r="G96" i="5" s="1"/>
  <c r="H96" i="5" s="1"/>
  <c r="E97" i="5"/>
  <c r="F97" i="5"/>
  <c r="G97" i="5" s="1"/>
  <c r="H97" i="5" s="1"/>
  <c r="A98" i="5"/>
  <c r="B98" i="5"/>
  <c r="C98" i="5"/>
  <c r="D98" i="5"/>
  <c r="E1" i="3"/>
  <c r="F1" i="3" s="1"/>
  <c r="G1" i="3" s="1"/>
  <c r="E2" i="3"/>
  <c r="F2" i="3" s="1"/>
  <c r="G2" i="3" s="1"/>
  <c r="E3" i="3"/>
  <c r="F3" i="3" s="1"/>
  <c r="E4" i="3"/>
  <c r="F4" i="3" s="1"/>
  <c r="G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G14" i="3" s="1"/>
  <c r="E15" i="3"/>
  <c r="F15" i="3" s="1"/>
  <c r="G15" i="3" s="1"/>
  <c r="E16" i="3"/>
  <c r="F16" i="3" s="1"/>
  <c r="G16" i="3" s="1"/>
  <c r="E17" i="3"/>
  <c r="F17" i="3" s="1"/>
  <c r="G17" i="3" s="1"/>
  <c r="E18" i="3"/>
  <c r="F18" i="3" s="1"/>
  <c r="G18" i="3" s="1"/>
  <c r="E19" i="3"/>
  <c r="F19" i="3" s="1"/>
  <c r="G19" i="3" s="1"/>
  <c r="E20" i="3"/>
  <c r="F20" i="3" s="1"/>
  <c r="G20" i="3" s="1"/>
  <c r="E21" i="3"/>
  <c r="F21" i="3" s="1"/>
  <c r="G21" i="3" s="1"/>
  <c r="E22" i="3"/>
  <c r="F22" i="3" s="1"/>
  <c r="G22" i="3" s="1"/>
  <c r="E23" i="3"/>
  <c r="F23" i="3" s="1"/>
  <c r="G23" i="3" s="1"/>
  <c r="E24" i="3"/>
  <c r="F24" i="3" s="1"/>
  <c r="G24" i="3" s="1"/>
  <c r="E25" i="3"/>
  <c r="F25" i="3" s="1"/>
  <c r="G25" i="3" s="1"/>
  <c r="E26" i="3"/>
  <c r="F26" i="3" s="1"/>
  <c r="G26" i="3" s="1"/>
  <c r="E27" i="3"/>
  <c r="F27" i="3" s="1"/>
  <c r="G27" i="3" s="1"/>
  <c r="E28" i="3"/>
  <c r="F28" i="3" s="1"/>
  <c r="G28" i="3" s="1"/>
  <c r="E29" i="3"/>
  <c r="F29" i="3" s="1"/>
  <c r="G29" i="3" s="1"/>
  <c r="E30" i="3"/>
  <c r="F30" i="3" s="1"/>
  <c r="G30" i="3" s="1"/>
  <c r="E31" i="3"/>
  <c r="F31" i="3" s="1"/>
  <c r="G31" i="3" s="1"/>
  <c r="E32" i="3"/>
  <c r="F32" i="3" s="1"/>
  <c r="G32" i="3" s="1"/>
  <c r="E33" i="3"/>
  <c r="F33" i="3" s="1"/>
  <c r="G33" i="3" s="1"/>
  <c r="E34" i="3"/>
  <c r="F34" i="3" s="1"/>
  <c r="G34" i="3" s="1"/>
  <c r="E35" i="3"/>
  <c r="F35" i="3" s="1"/>
  <c r="G35" i="3" s="1"/>
  <c r="E36" i="3"/>
  <c r="F36" i="3" s="1"/>
  <c r="G36" i="3" s="1"/>
  <c r="E37" i="3"/>
  <c r="F37" i="3" s="1"/>
  <c r="G37" i="3" s="1"/>
  <c r="E38" i="3"/>
  <c r="F38" i="3" s="1"/>
  <c r="G38" i="3" s="1"/>
  <c r="E39" i="3"/>
  <c r="F39" i="3" s="1"/>
  <c r="G39" i="3" s="1"/>
  <c r="E40" i="3"/>
  <c r="F40" i="3" s="1"/>
  <c r="G40" i="3" s="1"/>
  <c r="E41" i="3"/>
  <c r="F41" i="3" s="1"/>
  <c r="G41" i="3" s="1"/>
  <c r="E42" i="3"/>
  <c r="F42" i="3" s="1"/>
  <c r="G42" i="3" s="1"/>
  <c r="E43" i="3"/>
  <c r="F43" i="3" s="1"/>
  <c r="G43" i="3" s="1"/>
  <c r="E44" i="3"/>
  <c r="F44" i="3" s="1"/>
  <c r="G44" i="3" s="1"/>
  <c r="E45" i="3"/>
  <c r="F45" i="3" s="1"/>
  <c r="G45" i="3" s="1"/>
  <c r="E46" i="3"/>
  <c r="F46" i="3" s="1"/>
  <c r="G46" i="3" s="1"/>
  <c r="E47" i="3"/>
  <c r="F47" i="3" s="1"/>
  <c r="G47" i="3" s="1"/>
  <c r="E48" i="3"/>
  <c r="F48" i="3" s="1"/>
  <c r="G48" i="3" s="1"/>
  <c r="E49" i="3"/>
  <c r="F49" i="3" s="1"/>
  <c r="G49" i="3" s="1"/>
  <c r="E50" i="3"/>
  <c r="F50" i="3" s="1"/>
  <c r="G50" i="3" s="1"/>
  <c r="E51" i="3"/>
  <c r="F51" i="3" s="1"/>
  <c r="G51" i="3" s="1"/>
  <c r="E52" i="3"/>
  <c r="F52" i="3" s="1"/>
  <c r="G52" i="3" s="1"/>
  <c r="E53" i="3"/>
  <c r="F53" i="3" s="1"/>
  <c r="G53" i="3" s="1"/>
  <c r="E54" i="3"/>
  <c r="F54" i="3" s="1"/>
  <c r="G54" i="3" s="1"/>
  <c r="E55" i="3"/>
  <c r="F55" i="3" s="1"/>
  <c r="G55" i="3" s="1"/>
  <c r="E56" i="3"/>
  <c r="F56" i="3" s="1"/>
  <c r="G56" i="3" s="1"/>
  <c r="E57" i="3"/>
  <c r="F57" i="3" s="1"/>
  <c r="G57" i="3" s="1"/>
  <c r="E58" i="3"/>
  <c r="F58" i="3" s="1"/>
  <c r="G58" i="3" s="1"/>
  <c r="E59" i="3"/>
  <c r="F59" i="3" s="1"/>
  <c r="G59" i="3" s="1"/>
  <c r="E60" i="3"/>
  <c r="F60" i="3" s="1"/>
  <c r="G60" i="3" s="1"/>
  <c r="E61" i="3"/>
  <c r="F61" i="3" s="1"/>
  <c r="G61" i="3" s="1"/>
  <c r="E62" i="3"/>
  <c r="F62" i="3" s="1"/>
  <c r="G62" i="3" s="1"/>
  <c r="E63" i="3"/>
  <c r="F63" i="3" s="1"/>
  <c r="G63" i="3" s="1"/>
  <c r="E64" i="3"/>
  <c r="F64" i="3" s="1"/>
  <c r="G64" i="3" s="1"/>
  <c r="E65" i="3"/>
  <c r="F65" i="3" s="1"/>
  <c r="G65" i="3" s="1"/>
  <c r="E66" i="3"/>
  <c r="F66" i="3" s="1"/>
  <c r="G66" i="3" s="1"/>
  <c r="E67" i="3"/>
  <c r="F67" i="3" s="1"/>
  <c r="G67" i="3" s="1"/>
  <c r="E68" i="3"/>
  <c r="F68" i="3" s="1"/>
  <c r="G68" i="3" s="1"/>
  <c r="E69" i="3"/>
  <c r="F69" i="3" s="1"/>
  <c r="G69" i="3" s="1"/>
  <c r="E70" i="3"/>
  <c r="F70" i="3" s="1"/>
  <c r="G70" i="3" s="1"/>
  <c r="E71" i="3"/>
  <c r="F71" i="3" s="1"/>
  <c r="G71" i="3" s="1"/>
  <c r="E72" i="3"/>
  <c r="F72" i="3" s="1"/>
  <c r="G72" i="3" s="1"/>
  <c r="E73" i="3"/>
  <c r="F73" i="3" s="1"/>
  <c r="G73" i="3" s="1"/>
  <c r="E74" i="3"/>
  <c r="F74" i="3" s="1"/>
  <c r="G74" i="3" s="1"/>
  <c r="E75" i="3"/>
  <c r="F75" i="3" s="1"/>
  <c r="G75" i="3" s="1"/>
  <c r="E76" i="3"/>
  <c r="F76" i="3" s="1"/>
  <c r="G76" i="3" s="1"/>
  <c r="E77" i="3"/>
  <c r="F77" i="3" s="1"/>
  <c r="G77" i="3" s="1"/>
  <c r="E78" i="3"/>
  <c r="F78" i="3" s="1"/>
  <c r="G78" i="3" s="1"/>
  <c r="E79" i="3"/>
  <c r="F79" i="3" s="1"/>
  <c r="G79" i="3" s="1"/>
  <c r="E80" i="3"/>
  <c r="F80" i="3" s="1"/>
  <c r="G80" i="3" s="1"/>
  <c r="E81" i="3"/>
  <c r="F81" i="3" s="1"/>
  <c r="G81" i="3" s="1"/>
  <c r="E82" i="3"/>
  <c r="F82" i="3" s="1"/>
  <c r="G82" i="3" s="1"/>
  <c r="E83" i="3"/>
  <c r="F83" i="3" s="1"/>
  <c r="G83" i="3" s="1"/>
  <c r="E84" i="3"/>
  <c r="F84" i="3" s="1"/>
  <c r="G84" i="3" s="1"/>
  <c r="E85" i="3"/>
  <c r="F85" i="3" s="1"/>
  <c r="G85" i="3" s="1"/>
  <c r="E86" i="3"/>
  <c r="F86" i="3" s="1"/>
  <c r="G86" i="3" s="1"/>
  <c r="E87" i="3"/>
  <c r="F87" i="3" s="1"/>
  <c r="G87" i="3" s="1"/>
  <c r="E88" i="3"/>
  <c r="F88" i="3" s="1"/>
  <c r="G88" i="3" s="1"/>
  <c r="E89" i="3"/>
  <c r="F89" i="3" s="1"/>
  <c r="G89" i="3" s="1"/>
  <c r="E90" i="3"/>
  <c r="F90" i="3" s="1"/>
  <c r="G90" i="3" s="1"/>
  <c r="E91" i="3"/>
  <c r="F91" i="3" s="1"/>
  <c r="G91" i="3" s="1"/>
  <c r="E92" i="3"/>
  <c r="F92" i="3" s="1"/>
  <c r="G92" i="3" s="1"/>
  <c r="E93" i="3"/>
  <c r="F93" i="3" s="1"/>
  <c r="G93" i="3" s="1"/>
  <c r="E94" i="3"/>
  <c r="F94" i="3" s="1"/>
  <c r="G94" i="3" s="1"/>
  <c r="E95" i="3"/>
  <c r="F95" i="3" s="1"/>
  <c r="G95" i="3" s="1"/>
  <c r="E96" i="3"/>
  <c r="F96" i="3" s="1"/>
  <c r="G96" i="3" s="1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B98" i="2"/>
  <c r="C98" i="2"/>
  <c r="D98" i="2"/>
  <c r="F23" i="14" l="1"/>
  <c r="E99" i="16"/>
  <c r="F98" i="14"/>
  <c r="F14" i="14"/>
  <c r="F94" i="14"/>
  <c r="F16" i="14"/>
  <c r="E97" i="11"/>
  <c r="D258" i="21"/>
  <c r="G99" i="16"/>
  <c r="F100" i="14"/>
  <c r="F96" i="14"/>
  <c r="R99" i="12"/>
  <c r="C98" i="9"/>
  <c r="E101" i="14"/>
  <c r="E101" i="15"/>
  <c r="F22" i="14"/>
  <c r="F18" i="14"/>
  <c r="C101" i="14"/>
  <c r="B97" i="18"/>
  <c r="H98" i="2"/>
  <c r="G33" i="15"/>
  <c r="G101" i="15" s="1"/>
  <c r="G99" i="17"/>
  <c r="E98" i="10"/>
  <c r="G97" i="11"/>
  <c r="F99" i="14"/>
  <c r="F95" i="14"/>
  <c r="F93" i="14"/>
  <c r="F91" i="14"/>
  <c r="F92" i="14"/>
  <c r="F21" i="14"/>
  <c r="F15" i="14"/>
  <c r="F7" i="14"/>
  <c r="F5" i="14"/>
  <c r="F98" i="5"/>
  <c r="F28" i="14"/>
  <c r="F26" i="14"/>
  <c r="F24" i="14"/>
  <c r="F20" i="14"/>
  <c r="F90" i="14"/>
  <c r="F86" i="14"/>
  <c r="F82" i="14"/>
  <c r="F19" i="14"/>
  <c r="F17" i="14"/>
  <c r="E99" i="7"/>
  <c r="G2" i="5"/>
  <c r="H2" i="5" s="1"/>
  <c r="F89" i="14"/>
  <c r="F87" i="14"/>
  <c r="F85" i="14"/>
  <c r="F27" i="14"/>
  <c r="F12" i="14"/>
  <c r="F10" i="14"/>
  <c r="F8" i="14"/>
  <c r="F6" i="14"/>
  <c r="E70" i="18"/>
  <c r="F70" i="18" s="1"/>
  <c r="F102" i="8"/>
  <c r="F97" i="14"/>
  <c r="H99" i="17"/>
  <c r="E258" i="21"/>
  <c r="J10" i="11"/>
  <c r="I97" i="11"/>
  <c r="S99" i="12"/>
  <c r="H4" i="5"/>
  <c r="G4" i="9"/>
  <c r="G98" i="9" s="1"/>
  <c r="F98" i="9"/>
  <c r="F99" i="7"/>
  <c r="G98" i="10"/>
  <c r="F88" i="14"/>
  <c r="F84" i="14"/>
  <c r="F25" i="14"/>
  <c r="C68" i="18"/>
  <c r="E68" i="18" s="1"/>
  <c r="F68" i="18" s="1"/>
  <c r="D97" i="22"/>
  <c r="E98" i="5"/>
  <c r="H99" i="16"/>
  <c r="F97" i="3"/>
  <c r="E69" i="18"/>
  <c r="F69" i="18" s="1"/>
  <c r="D100" i="6"/>
  <c r="E100" i="6"/>
  <c r="F83" i="14"/>
  <c r="F81" i="14"/>
  <c r="F99" i="19"/>
  <c r="M7" i="11"/>
  <c r="N7" i="11" s="1"/>
  <c r="N1" i="11"/>
  <c r="F98" i="2"/>
  <c r="H39" i="10"/>
  <c r="H98" i="10" s="1"/>
  <c r="G3" i="3"/>
  <c r="G97" i="3" s="1"/>
  <c r="E98" i="2"/>
  <c r="G102" i="8"/>
  <c r="F11" i="14"/>
  <c r="F9" i="14"/>
  <c r="I98" i="2"/>
  <c r="E98" i="20"/>
  <c r="F13" i="14"/>
  <c r="E97" i="3"/>
  <c r="F99" i="17"/>
  <c r="E1" i="22"/>
  <c r="E97" i="22" s="1"/>
  <c r="C66" i="18"/>
  <c r="D98" i="20"/>
  <c r="D98" i="23"/>
  <c r="D99" i="23" s="1"/>
  <c r="D100" i="23" s="1"/>
  <c r="E2" i="23"/>
  <c r="C98" i="23"/>
  <c r="E3" i="23"/>
  <c r="F101" i="1"/>
  <c r="F101" i="14" l="1"/>
  <c r="G98" i="5"/>
  <c r="C97" i="18"/>
  <c r="H98" i="5"/>
  <c r="K10" i="11"/>
  <c r="J97" i="11"/>
  <c r="E66" i="18"/>
  <c r="E98" i="23"/>
  <c r="M10" i="11" l="1"/>
  <c r="K97" i="11"/>
  <c r="F66" i="18"/>
  <c r="F97" i="18" s="1"/>
  <c r="E97" i="18"/>
  <c r="N10" i="11" l="1"/>
  <c r="N97" i="11" s="1"/>
  <c r="M97" i="11"/>
</calcChain>
</file>

<file path=xl/sharedStrings.xml><?xml version="1.0" encoding="utf-8"?>
<sst xmlns="http://schemas.openxmlformats.org/spreadsheetml/2006/main" count="291" uniqueCount="86">
  <si>
    <t>Day ahead forecasting of Restricted Demand,Load relief &amp; Un-restricted Demand of CENTRAL DISCOM.</t>
  </si>
  <si>
    <t>Sl.No.</t>
  </si>
  <si>
    <t>Time block</t>
  </si>
  <si>
    <t>Projected Relief (Load shedding)</t>
  </si>
  <si>
    <t>Projected Restricted Demand</t>
  </si>
  <si>
    <t>From</t>
  </si>
  <si>
    <t>to</t>
  </si>
  <si>
    <t>Total LU</t>
  </si>
  <si>
    <t>rev</t>
  </si>
  <si>
    <t>block adj</t>
  </si>
  <si>
    <t>FF 19/11</t>
  </si>
  <si>
    <t>day ahead</t>
  </si>
  <si>
    <t>mat lab</t>
  </si>
  <si>
    <t>avg</t>
  </si>
  <si>
    <t xml:space="preserve">final </t>
  </si>
  <si>
    <t>final</t>
  </si>
  <si>
    <t>REV</t>
  </si>
  <si>
    <t>actual met</t>
  </si>
  <si>
    <t>fore cast</t>
  </si>
  <si>
    <r>
      <t>39</t>
    </r>
    <r>
      <rPr>
        <sz val="9"/>
        <color indexed="9"/>
        <rFont val="Trebuchet MS"/>
        <family val="2"/>
      </rPr>
      <t> No. Feeder Currently OFF Since Date/Time as Below</t>
    </r>
  </si>
  <si>
    <t>ssname</t>
  </si>
  <si>
    <t>fname</t>
  </si>
  <si>
    <t>Date</t>
  </si>
  <si>
    <t>Time</t>
  </si>
  <si>
    <t>loadrelmw</t>
  </si>
  <si>
    <t>220KV Itarsi</t>
  </si>
  <si>
    <t>33kV KESLA</t>
  </si>
  <si>
    <t>33kV PATHROTA</t>
  </si>
  <si>
    <t>33kV RAILWAY</t>
  </si>
  <si>
    <t>33kV JAMANI</t>
  </si>
  <si>
    <t>132KV Sironj</t>
  </si>
  <si>
    <t>132KV SeoniMalwa</t>
  </si>
  <si>
    <t>33KV SHIVPUR</t>
  </si>
  <si>
    <t>33kV SPM</t>
  </si>
  <si>
    <t>33kV GURRA (TAWA)</t>
  </si>
  <si>
    <t>33kV ITARSI - I</t>
  </si>
  <si>
    <t>33kV ITARSI - II</t>
  </si>
  <si>
    <t>132KV SARANGPUR</t>
  </si>
  <si>
    <t>33KV KILODA</t>
  </si>
  <si>
    <t>33kV PROPLENE - II</t>
  </si>
  <si>
    <t>132KV KURAWAR</t>
  </si>
  <si>
    <t>132KV BIAORA</t>
  </si>
  <si>
    <t>33KV SILPATI</t>
  </si>
  <si>
    <t>220KV GUNA</t>
  </si>
  <si>
    <t>33KV NANAKHEDI</t>
  </si>
  <si>
    <t>33KV GARHA</t>
  </si>
  <si>
    <t>220KV HOSHANGABAD</t>
  </si>
  <si>
    <t>33KV DOLARIYA</t>
  </si>
  <si>
    <t>220KV SABALGARH</t>
  </si>
  <si>
    <t>33KV RAMPUR</t>
  </si>
  <si>
    <t>33KV KAILARAS</t>
  </si>
  <si>
    <t>33KV KOTRA</t>
  </si>
  <si>
    <t>220kV MALANPUR</t>
  </si>
  <si>
    <t>33KV MONTAGE</t>
  </si>
  <si>
    <t>33KV AKVN</t>
  </si>
  <si>
    <t>132KV KHIRKIYA</t>
  </si>
  <si>
    <t>33KV CHARUA</t>
  </si>
  <si>
    <t>33KV Feeder off /Under Breakdown in SCADA at 18:10</t>
  </si>
  <si>
    <t>Note -Heavy wind &amp; Thunderstorm Reported by sop Hoshangabad &amp; Guna</t>
  </si>
  <si>
    <t>gfgh</t>
  </si>
  <si>
    <t>220KV MEHGAON</t>
  </si>
  <si>
    <t>33KV MEHGAON CITY</t>
  </si>
  <si>
    <t>132KV SHYAMPUR</t>
  </si>
  <si>
    <t>33KV KHAIKHEDA</t>
  </si>
  <si>
    <t>33KV DORAHA</t>
  </si>
  <si>
    <t>33KV AHMADPUR</t>
  </si>
  <si>
    <t>33KV KHAJURIKALAN</t>
  </si>
  <si>
    <t>132KV BARELI</t>
  </si>
  <si>
    <t>33KV NAYAGAON KHURD</t>
  </si>
  <si>
    <t>33KV CHHAPU</t>
  </si>
  <si>
    <t>132KV SULTANPUR</t>
  </si>
  <si>
    <t>33KV MUHALKALA</t>
  </si>
  <si>
    <t>132kV SHYAMPUR</t>
  </si>
  <si>
    <t>33KV TAKIYA</t>
  </si>
  <si>
    <t>33KV SONKATCH</t>
  </si>
  <si>
    <t>33KV MUNGAWALI</t>
  </si>
  <si>
    <t>220kV ASHOKNAGAR</t>
  </si>
  <si>
    <t>33KV BUS COUPLER</t>
  </si>
  <si>
    <t>33KV Feeder off /Under Breakdown in SCADA at 18:55</t>
  </si>
  <si>
    <r>
      <t>20</t>
    </r>
    <r>
      <rPr>
        <sz val="9"/>
        <color indexed="9"/>
        <rFont val="Trebuchet MS"/>
        <family val="2"/>
      </rPr>
      <t> No. Feeder Currently OFF Since Date/Time as Below</t>
    </r>
  </si>
  <si>
    <t>220KV ASHTA2</t>
  </si>
  <si>
    <t>33KV AMLA MAJJU</t>
  </si>
  <si>
    <t>33KV BHORIYA</t>
  </si>
  <si>
    <t>33KV SIRALI</t>
  </si>
  <si>
    <t>33KV Feeder off /Under Breakdown in SCADA at 19:25</t>
  </si>
  <si>
    <t>Projected Un-restricted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</si>
</sst>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d\-mmm\-yy;@"/>
    <numFmt numFmtId="165" formatCode="h:mm;@"/>
    <numFmt numFmtId="166" formatCode="_([$€-2]* #,##0.00_);_([$€-2]* \(#,##0.00\);_([$€-2]* &quot;-&quot;??_)"/>
    <numFmt numFmtId="167" formatCode="0.000000"/>
  </numFmts>
  <fonts count="5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62"/>
      <name val="Calibri"/>
      <family val="2"/>
    </font>
    <font>
      <sz val="9"/>
      <color indexed="9"/>
      <name val="Trebuchet MS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FF"/>
      <name val="Trebuchet MS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Arial"/>
      <family val="2"/>
      <charset val="1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Times New Roman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1"/>
      <scheme val="minor"/>
    </font>
  </fonts>
  <fills count="5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EB9C"/>
      </patternFill>
    </fill>
    <fill>
      <patternFill patternType="solid">
        <fgColor rgb="FFCCFFFF"/>
        <bgColor indexed="64"/>
      </patternFill>
    </fill>
    <fill>
      <patternFill patternType="lightUp"/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6">
    <xf numFmtId="0" fontId="0" fillId="0" borderId="0"/>
    <xf numFmtId="0" fontId="2" fillId="2" borderId="1" applyNumberFormat="0" applyAlignment="0" applyProtection="0"/>
    <xf numFmtId="0" fontId="16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20" applyNumberFormat="0" applyAlignment="0" applyProtection="0"/>
    <xf numFmtId="0" fontId="23" fillId="8" borderId="21" applyNumberFormat="0" applyAlignment="0" applyProtection="0"/>
    <xf numFmtId="0" fontId="24" fillId="8" borderId="20" applyNumberFormat="0" applyAlignment="0" applyProtection="0"/>
    <xf numFmtId="0" fontId="25" fillId="0" borderId="22" applyNumberFormat="0" applyFill="0" applyAlignment="0" applyProtection="0"/>
    <xf numFmtId="0" fontId="26" fillId="9" borderId="23" applyNumberFormat="0" applyAlignment="0" applyProtection="0"/>
    <xf numFmtId="0" fontId="27" fillId="0" borderId="0" applyNumberFormat="0" applyFill="0" applyBorder="0" applyAlignment="0" applyProtection="0"/>
    <xf numFmtId="0" fontId="15" fillId="10" borderId="24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30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30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2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38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51" borderId="0" applyNumberFormat="0" applyBorder="0" applyAlignment="0" applyProtection="0"/>
    <xf numFmtId="0" fontId="34" fillId="36" borderId="0" applyNumberFormat="0" applyBorder="0" applyAlignment="0" applyProtection="0"/>
    <xf numFmtId="0" fontId="35" fillId="52" borderId="1" applyNumberFormat="0" applyAlignment="0" applyProtection="0"/>
    <xf numFmtId="0" fontId="36" fillId="53" borderId="26" applyNumberFormat="0" applyAlignment="0" applyProtection="0"/>
    <xf numFmtId="43" fontId="31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0" fontId="49" fillId="0" borderId="0"/>
    <xf numFmtId="0" fontId="37" fillId="0" borderId="0" applyNumberFormat="0" applyFill="0" applyBorder="0" applyAlignment="0" applyProtection="0"/>
    <xf numFmtId="0" fontId="38" fillId="37" borderId="0" applyNumberFormat="0" applyBorder="0" applyAlignment="0" applyProtection="0"/>
    <xf numFmtId="0" fontId="39" fillId="0" borderId="27" applyNumberFormat="0" applyFill="0" applyAlignment="0" applyProtection="0"/>
    <xf numFmtId="0" fontId="40" fillId="0" borderId="28" applyNumberFormat="0" applyFill="0" applyAlignment="0" applyProtection="0"/>
    <xf numFmtId="0" fontId="41" fillId="0" borderId="29" applyNumberFormat="0" applyFill="0" applyAlignment="0" applyProtection="0"/>
    <xf numFmtId="0" fontId="41" fillId="0" borderId="0" applyNumberFormat="0" applyFill="0" applyBorder="0" applyAlignment="0" applyProtection="0"/>
    <xf numFmtId="0" fontId="42" fillId="0" borderId="30" applyNumberFormat="0" applyFill="0" applyAlignment="0" applyProtection="0"/>
    <xf numFmtId="0" fontId="43" fillId="54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48" fillId="0" borderId="0"/>
    <xf numFmtId="0" fontId="32" fillId="0" borderId="0"/>
    <xf numFmtId="0" fontId="3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8" fillId="0" borderId="0"/>
    <xf numFmtId="0" fontId="48" fillId="0" borderId="0"/>
    <xf numFmtId="0" fontId="48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48" fillId="0" borderId="0"/>
    <xf numFmtId="0" fontId="32" fillId="0" borderId="0"/>
    <xf numFmtId="0" fontId="32" fillId="0" borderId="0"/>
    <xf numFmtId="0" fontId="32" fillId="55" borderId="31" applyNumberFormat="0" applyFont="0" applyAlignment="0" applyProtection="0"/>
    <xf numFmtId="0" fontId="32" fillId="55" borderId="31" applyNumberFormat="0" applyFont="0" applyAlignment="0" applyProtection="0"/>
    <xf numFmtId="0" fontId="32" fillId="55" borderId="31" applyNumberFormat="0" applyFont="0" applyAlignment="0" applyProtection="0"/>
    <xf numFmtId="0" fontId="32" fillId="55" borderId="31" applyNumberFormat="0" applyFont="0" applyAlignment="0" applyProtection="0"/>
    <xf numFmtId="0" fontId="44" fillId="52" borderId="32" applyNumberFormat="0" applyAlignment="0" applyProtection="0"/>
    <xf numFmtId="9" fontId="3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3" applyNumberFormat="0" applyFill="0" applyAlignment="0" applyProtection="0"/>
    <xf numFmtId="0" fontId="47" fillId="0" borderId="0" applyNumberFormat="0" applyFill="0" applyBorder="0" applyAlignment="0" applyProtection="0"/>
    <xf numFmtId="0" fontId="32" fillId="0" borderId="0"/>
    <xf numFmtId="0" fontId="15" fillId="0" borderId="0">
      <alignment readingOrder="1"/>
    </xf>
    <xf numFmtId="0" fontId="53" fillId="56" borderId="0" applyNumberFormat="0" applyBorder="0" applyAlignment="0" applyProtection="0"/>
    <xf numFmtId="1" fontId="15" fillId="57" borderId="2"/>
    <xf numFmtId="1" fontId="15" fillId="58" borderId="0"/>
    <xf numFmtId="0" fontId="54" fillId="0" borderId="0"/>
    <xf numFmtId="0" fontId="55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/>
  </cellStyleXfs>
  <cellXfs count="77">
    <xf numFmtId="0" fontId="0" fillId="0" borderId="0" xfId="0"/>
    <xf numFmtId="20" fontId="4" fillId="0" borderId="2" xfId="0" applyNumberFormat="1" applyFont="1" applyFill="1" applyBorder="1" applyAlignment="1">
      <alignment horizontal="center" vertical="center" wrapText="1"/>
    </xf>
    <xf numFmtId="20" fontId="1" fillId="3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65" fontId="1" fillId="3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4" borderId="0" xfId="0" applyFill="1"/>
    <xf numFmtId="1" fontId="0" fillId="0" borderId="0" xfId="0" applyNumberFormat="1" applyFill="1"/>
    <xf numFmtId="1" fontId="0" fillId="4" borderId="0" xfId="0" applyNumberFormat="1" applyFill="1"/>
    <xf numFmtId="0" fontId="0" fillId="0" borderId="2" xfId="0" applyBorder="1"/>
    <xf numFmtId="16" fontId="0" fillId="0" borderId="2" xfId="0" applyNumberFormat="1" applyBorder="1"/>
    <xf numFmtId="1" fontId="0" fillId="0" borderId="2" xfId="0" applyNumberFormat="1" applyBorder="1"/>
    <xf numFmtId="0" fontId="4" fillId="0" borderId="2" xfId="0" applyFont="1" applyFill="1" applyBorder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/>
    <xf numFmtId="1" fontId="0" fillId="3" borderId="0" xfId="0" applyNumberFormat="1" applyFill="1"/>
    <xf numFmtId="0" fontId="0" fillId="3" borderId="0" xfId="0" applyFill="1"/>
    <xf numFmtId="1" fontId="5" fillId="3" borderId="3" xfId="0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/>
    </xf>
    <xf numFmtId="16" fontId="0" fillId="0" borderId="0" xfId="0" applyNumberFormat="1"/>
    <xf numFmtId="1" fontId="5" fillId="3" borderId="5" xfId="0" applyNumberFormat="1" applyFont="1" applyFill="1" applyBorder="1" applyAlignment="1">
      <alignment horizontal="center"/>
    </xf>
    <xf numFmtId="1" fontId="5" fillId="4" borderId="0" xfId="0" applyNumberFormat="1" applyFont="1" applyFill="1" applyBorder="1" applyAlignment="1">
      <alignment horizontal="center"/>
    </xf>
    <xf numFmtId="165" fontId="0" fillId="0" borderId="0" xfId="0" applyNumberFormat="1"/>
    <xf numFmtId="1" fontId="6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wrapText="1"/>
    </xf>
    <xf numFmtId="15" fontId="10" fillId="0" borderId="11" xfId="0" applyNumberFormat="1" applyFont="1" applyBorder="1" applyAlignment="1">
      <alignment wrapText="1"/>
    </xf>
    <xf numFmtId="21" fontId="10" fillId="0" borderId="11" xfId="0" applyNumberFormat="1" applyFont="1" applyBorder="1" applyAlignment="1">
      <alignment wrapText="1"/>
    </xf>
    <xf numFmtId="0" fontId="11" fillId="0" borderId="0" xfId="0" applyFont="1"/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wrapText="1"/>
    </xf>
    <xf numFmtId="15" fontId="13" fillId="0" borderId="11" xfId="0" applyNumberFormat="1" applyFont="1" applyBorder="1" applyAlignment="1">
      <alignment wrapText="1"/>
    </xf>
    <xf numFmtId="21" fontId="13" fillId="0" borderId="11" xfId="0" applyNumberFormat="1" applyFont="1" applyBorder="1" applyAlignment="1">
      <alignment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15" fontId="10" fillId="0" borderId="15" xfId="0" applyNumberFormat="1" applyFont="1" applyBorder="1" applyAlignment="1">
      <alignment wrapText="1"/>
    </xf>
    <xf numFmtId="21" fontId="10" fillId="0" borderId="15" xfId="0" applyNumberFormat="1" applyFont="1" applyBorder="1" applyAlignment="1">
      <alignment wrapText="1"/>
    </xf>
    <xf numFmtId="0" fontId="10" fillId="0" borderId="16" xfId="0" applyFont="1" applyBorder="1" applyAlignment="1">
      <alignment wrapText="1"/>
    </xf>
    <xf numFmtId="1" fontId="5" fillId="4" borderId="2" xfId="0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1" fontId="50" fillId="3" borderId="2" xfId="0" applyNumberFormat="1" applyFont="1" applyFill="1" applyBorder="1" applyAlignment="1">
      <alignment horizontal="center"/>
    </xf>
    <xf numFmtId="164" fontId="51" fillId="0" borderId="2" xfId="0" applyNumberFormat="1" applyFont="1" applyFill="1" applyBorder="1" applyAlignment="1">
      <alignment horizontal="center" vertical="center"/>
    </xf>
    <xf numFmtId="1" fontId="0" fillId="0" borderId="0" xfId="0" applyNumberFormat="1" applyFont="1"/>
    <xf numFmtId="0" fontId="0" fillId="0" borderId="0" xfId="0" applyFont="1"/>
    <xf numFmtId="0" fontId="4" fillId="3" borderId="2" xfId="0" applyFont="1" applyFill="1" applyBorder="1" applyAlignment="1">
      <alignment horizontal="center" vertical="center" wrapText="1"/>
    </xf>
    <xf numFmtId="167" fontId="0" fillId="0" borderId="0" xfId="0" applyNumberFormat="1" applyFont="1"/>
    <xf numFmtId="1" fontId="51" fillId="4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 wrapText="1"/>
    </xf>
    <xf numFmtId="1" fontId="51" fillId="0" borderId="0" xfId="0" applyNumberFormat="1" applyFont="1"/>
    <xf numFmtId="0" fontId="4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2" fillId="0" borderId="5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2" fillId="0" borderId="7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36">
    <cellStyle name="20% - Accent1" xfId="19" builtinId="30" customBuiltin="1"/>
    <cellStyle name="20% - Accent1 2" xfId="42"/>
    <cellStyle name="20% - Accent2" xfId="23" builtinId="34" customBuiltin="1"/>
    <cellStyle name="20% - Accent2 2" xfId="43"/>
    <cellStyle name="20% - Accent3" xfId="27" builtinId="38" customBuiltin="1"/>
    <cellStyle name="20% - Accent3 2" xfId="44"/>
    <cellStyle name="20% - Accent4" xfId="31" builtinId="42" customBuiltin="1"/>
    <cellStyle name="20% - Accent4 2" xfId="45"/>
    <cellStyle name="20% - Accent5" xfId="35" builtinId="46" customBuiltin="1"/>
    <cellStyle name="20% - Accent5 2" xfId="46"/>
    <cellStyle name="20% - Accent6" xfId="39" builtinId="50" customBuiltin="1"/>
    <cellStyle name="20% - Accent6 2" xfId="47"/>
    <cellStyle name="40% - Accent1" xfId="20" builtinId="31" customBuiltin="1"/>
    <cellStyle name="40% - Accent1 2" xfId="48"/>
    <cellStyle name="40% - Accent2" xfId="24" builtinId="35" customBuiltin="1"/>
    <cellStyle name="40% - Accent2 2" xfId="49"/>
    <cellStyle name="40% - Accent3" xfId="28" builtinId="39" customBuiltin="1"/>
    <cellStyle name="40% - Accent3 2" xfId="50"/>
    <cellStyle name="40% - Accent4" xfId="32" builtinId="43" customBuiltin="1"/>
    <cellStyle name="40% - Accent4 2" xfId="51"/>
    <cellStyle name="40% - Accent5" xfId="36" builtinId="47" customBuiltin="1"/>
    <cellStyle name="40% - Accent5 2" xfId="52"/>
    <cellStyle name="40% - Accent6" xfId="40" builtinId="51" customBuiltin="1"/>
    <cellStyle name="40% - Accent6 2" xfId="53"/>
    <cellStyle name="60% - Accent1" xfId="21" builtinId="32" customBuiltin="1"/>
    <cellStyle name="60% - Accent1 2" xfId="54"/>
    <cellStyle name="60% - Accent2" xfId="25" builtinId="36" customBuiltin="1"/>
    <cellStyle name="60% - Accent2 2" xfId="55"/>
    <cellStyle name="60% - Accent3" xfId="29" builtinId="40" customBuiltin="1"/>
    <cellStyle name="60% - Accent3 2" xfId="56"/>
    <cellStyle name="60% - Accent4" xfId="33" builtinId="44" customBuiltin="1"/>
    <cellStyle name="60% - Accent4 2" xfId="57"/>
    <cellStyle name="60% - Accent5" xfId="37" builtinId="48" customBuiltin="1"/>
    <cellStyle name="60% - Accent5 2" xfId="58"/>
    <cellStyle name="60% - Accent6" xfId="41" builtinId="52" customBuiltin="1"/>
    <cellStyle name="60% - Accent6 2" xfId="59"/>
    <cellStyle name="Accent1" xfId="18" builtinId="29" customBuiltin="1"/>
    <cellStyle name="Accent1 2" xfId="60"/>
    <cellStyle name="Accent2" xfId="22" builtinId="33" customBuiltin="1"/>
    <cellStyle name="Accent2 2" xfId="61"/>
    <cellStyle name="Accent3" xfId="26" builtinId="37" customBuiltin="1"/>
    <cellStyle name="Accent3 2" xfId="62"/>
    <cellStyle name="Accent4" xfId="30" builtinId="41" customBuiltin="1"/>
    <cellStyle name="Accent4 2" xfId="63"/>
    <cellStyle name="Accent5" xfId="34" builtinId="45" customBuiltin="1"/>
    <cellStyle name="Accent5 2" xfId="64"/>
    <cellStyle name="Accent6" xfId="38" builtinId="49" customBuiltin="1"/>
    <cellStyle name="Accent6 2" xfId="65"/>
    <cellStyle name="Bad" xfId="8" builtinId="27" customBuiltin="1"/>
    <cellStyle name="Bad 2" xfId="66"/>
    <cellStyle name="Calculation" xfId="11" builtinId="22" customBuiltin="1"/>
    <cellStyle name="Calculation 2" xfId="67"/>
    <cellStyle name="Check Cell" xfId="13" builtinId="23" customBuiltin="1"/>
    <cellStyle name="Check Cell 2" xfId="68"/>
    <cellStyle name="Comma 2" xfId="69"/>
    <cellStyle name="Euro" xfId="70"/>
    <cellStyle name="Euro 2" xfId="71"/>
    <cellStyle name="Excel Built-in Normal" xfId="72"/>
    <cellStyle name="Explanatory Text" xfId="16" builtinId="53" customBuiltin="1"/>
    <cellStyle name="Explanatory Text 2" xfId="73"/>
    <cellStyle name="FLASH" xfId="128"/>
    <cellStyle name="FLASHING" xfId="130"/>
    <cellStyle name="Good" xfId="7" builtinId="26" customBuiltin="1"/>
    <cellStyle name="Good 2" xfId="74"/>
    <cellStyle name="Heading 1" xfId="3" builtinId="16" customBuiltin="1"/>
    <cellStyle name="Heading 1 2" xfId="75"/>
    <cellStyle name="Heading 2" xfId="4" builtinId="17" customBuiltin="1"/>
    <cellStyle name="Heading 2 2" xfId="76"/>
    <cellStyle name="Heading 3" xfId="5" builtinId="18" customBuiltin="1"/>
    <cellStyle name="Heading 3 2" xfId="77"/>
    <cellStyle name="Heading 4" xfId="6" builtinId="19" customBuiltin="1"/>
    <cellStyle name="Heading 4 2" xfId="78"/>
    <cellStyle name="Hyperlink 2" xfId="134"/>
    <cellStyle name="Input" xfId="9" builtinId="20" customBuiltin="1"/>
    <cellStyle name="Input 2" xfId="1"/>
    <cellStyle name="Linked Cell" xfId="12" builtinId="24" customBuiltin="1"/>
    <cellStyle name="Linked Cell 2" xfId="79"/>
    <cellStyle name="Neutral" xfId="129" builtinId="28" customBuiltin="1"/>
    <cellStyle name="Neutral 2" xfId="80"/>
    <cellStyle name="Normal" xfId="0" builtinId="0"/>
    <cellStyle name="Normal 10" xfId="81"/>
    <cellStyle name="Normal 11" xfId="82"/>
    <cellStyle name="Normal 11 2" xfId="83"/>
    <cellStyle name="Normal 11 3" xfId="84"/>
    <cellStyle name="Normal 12" xfId="85"/>
    <cellStyle name="Normal 13" xfId="86"/>
    <cellStyle name="Normal 13 2" xfId="87"/>
    <cellStyle name="Normal 14" xfId="88"/>
    <cellStyle name="Normal 15" xfId="89"/>
    <cellStyle name="Normal 16" xfId="132"/>
    <cellStyle name="Normal 2" xfId="90"/>
    <cellStyle name="Normal 2 10" xfId="91"/>
    <cellStyle name="Normal 2 11" xfId="92"/>
    <cellStyle name="Normal 2 2" xfId="93"/>
    <cellStyle name="Normal 2 2 2" xfId="94"/>
    <cellStyle name="Normal 2 3" xfId="95"/>
    <cellStyle name="Normal 2 3 23 2 2" xfId="135"/>
    <cellStyle name="Normal 2_DailyJan2013_Discom" xfId="96"/>
    <cellStyle name="Normal 3" xfId="97"/>
    <cellStyle name="Normal 3 2" xfId="98"/>
    <cellStyle name="Normal 3 2 2" xfId="99"/>
    <cellStyle name="Normal 3 4" xfId="100"/>
    <cellStyle name="Normal 38" xfId="127"/>
    <cellStyle name="Normal 4" xfId="101"/>
    <cellStyle name="Normal 4 2" xfId="102"/>
    <cellStyle name="Normal 4 3" xfId="103"/>
    <cellStyle name="Normal 40" xfId="133"/>
    <cellStyle name="Normal 5" xfId="104"/>
    <cellStyle name="Normal 5 2" xfId="105"/>
    <cellStyle name="Normal 6" xfId="106"/>
    <cellStyle name="Normal 6 2" xfId="107"/>
    <cellStyle name="Normal 7" xfId="108"/>
    <cellStyle name="Normal 7 2" xfId="109"/>
    <cellStyle name="Normal 8" xfId="110"/>
    <cellStyle name="Normal 8 2" xfId="111"/>
    <cellStyle name="Normal 8 2 2" xfId="112"/>
    <cellStyle name="Normal 8 2 2 2" xfId="113"/>
    <cellStyle name="Normal 8 2 2 3" xfId="114"/>
    <cellStyle name="Normal 8 2 3" xfId="115"/>
    <cellStyle name="Normal 9" xfId="116"/>
    <cellStyle name="Normal 9 2" xfId="117"/>
    <cellStyle name="Note" xfId="15" builtinId="10" customBuiltin="1"/>
    <cellStyle name="Note 2" xfId="118"/>
    <cellStyle name="Note 3" xfId="119"/>
    <cellStyle name="Note 4" xfId="120"/>
    <cellStyle name="Note 5" xfId="121"/>
    <cellStyle name="Output" xfId="10" builtinId="21" customBuiltin="1"/>
    <cellStyle name="Output 2" xfId="122"/>
    <cellStyle name="Percent 2" xfId="123"/>
    <cellStyle name="Style 1" xfId="131"/>
    <cellStyle name="Title" xfId="2" builtinId="15" customBuiltin="1"/>
    <cellStyle name="Title 2" xfId="124"/>
    <cellStyle name="Total" xfId="17" builtinId="25" customBuiltin="1"/>
    <cellStyle name="Total 2" xfId="125"/>
    <cellStyle name="Warning Text" xfId="14" builtinId="11" customBuiltin="1"/>
    <cellStyle name="Warning Text 2" xfId="126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CCFFFF"/>
      <color rgb="FF66FFFF"/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Sheet22!#REF!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5-4380-BFCE-4DBD2084693F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Sheet22!#REF!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95-4380-BFCE-4DBD2084693F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Sheet22!#REF!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5-4380-BFCE-4DBD20846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970432"/>
        <c:axId val="303973152"/>
      </c:lineChart>
      <c:catAx>
        <c:axId val="30397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3973152"/>
        <c:crosses val="autoZero"/>
        <c:auto val="1"/>
        <c:lblAlgn val="ctr"/>
        <c:lblOffset val="100"/>
        <c:noMultiLvlLbl val="0"/>
      </c:catAx>
      <c:valAx>
        <c:axId val="30397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39704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66</xdr:row>
      <xdr:rowOff>85725</xdr:rowOff>
    </xdr:from>
    <xdr:to>
      <xdr:col>15</xdr:col>
      <xdr:colOff>361950</xdr:colOff>
      <xdr:row>88</xdr:row>
      <xdr:rowOff>9525</xdr:rowOff>
    </xdr:to>
    <xdr:graphicFrame macro="">
      <xdr:nvGraphicFramePr>
        <xdr:cNvPr id="127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10"/>
  <sheetViews>
    <sheetView tabSelected="1" topLeftCell="A25" zoomScaleNormal="100" workbookViewId="0">
      <selection activeCell="F101" sqref="F101"/>
    </sheetView>
  </sheetViews>
  <sheetFormatPr defaultRowHeight="15" x14ac:dyDescent="0.25"/>
  <cols>
    <col min="2" max="2" width="8" customWidth="1"/>
    <col min="3" max="3" width="13.5703125" customWidth="1"/>
    <col min="4" max="4" width="17.7109375" style="52" bestFit="1" customWidth="1"/>
    <col min="5" max="5" width="19.140625" style="52" customWidth="1"/>
    <col min="6" max="6" width="20.140625" style="51" customWidth="1"/>
  </cols>
  <sheetData>
    <row r="1" spans="1:7" ht="27" customHeight="1" x14ac:dyDescent="0.25">
      <c r="A1" s="63" t="s">
        <v>0</v>
      </c>
      <c r="B1" s="63"/>
      <c r="C1" s="63"/>
      <c r="D1" s="63"/>
      <c r="E1" s="63"/>
      <c r="F1" s="63"/>
    </row>
    <row r="2" spans="1:7" ht="18.75" x14ac:dyDescent="0.25">
      <c r="A2" s="64"/>
      <c r="B2" s="65"/>
      <c r="C2" s="65"/>
      <c r="D2" s="66"/>
      <c r="E2" s="50">
        <v>46122</v>
      </c>
      <c r="F2" s="55"/>
    </row>
    <row r="3" spans="1:7" ht="23.25" customHeight="1" x14ac:dyDescent="0.25">
      <c r="A3" s="58" t="s">
        <v>1</v>
      </c>
      <c r="B3" s="58" t="s">
        <v>2</v>
      </c>
      <c r="C3" s="58"/>
      <c r="D3" s="59" t="s">
        <v>85</v>
      </c>
      <c r="E3" s="58" t="s">
        <v>3</v>
      </c>
      <c r="F3" s="59" t="s">
        <v>4</v>
      </c>
    </row>
    <row r="4" spans="1:7" x14ac:dyDescent="0.25">
      <c r="A4" s="58"/>
      <c r="B4" s="13" t="s">
        <v>5</v>
      </c>
      <c r="C4" s="1" t="s">
        <v>6</v>
      </c>
      <c r="D4" s="59"/>
      <c r="E4" s="58"/>
      <c r="F4" s="59"/>
    </row>
    <row r="5" spans="1:7" ht="15.75" customHeight="1" x14ac:dyDescent="0.3">
      <c r="A5" s="20">
        <v>1</v>
      </c>
      <c r="B5" s="2">
        <v>0</v>
      </c>
      <c r="C5" s="2">
        <v>1.0416666666666666E-2</v>
      </c>
      <c r="D5" s="56">
        <v>3765.6242707114611</v>
      </c>
      <c r="E5" s="53">
        <v>0</v>
      </c>
      <c r="F5" s="56">
        <v>3765.6242707114611</v>
      </c>
      <c r="G5" s="57"/>
    </row>
    <row r="6" spans="1:7" ht="18.75" x14ac:dyDescent="0.3">
      <c r="A6" s="20">
        <v>2</v>
      </c>
      <c r="B6" s="2">
        <v>1.0416666666666666E-2</v>
      </c>
      <c r="C6" s="2">
        <v>2.0833333333333332E-2</v>
      </c>
      <c r="D6" s="56">
        <v>3797.8179696612833</v>
      </c>
      <c r="E6" s="53">
        <v>0</v>
      </c>
      <c r="F6" s="56">
        <v>3797.8179696612833</v>
      </c>
      <c r="G6" s="57"/>
    </row>
    <row r="7" spans="1:7" ht="18.75" x14ac:dyDescent="0.3">
      <c r="A7" s="20">
        <v>3</v>
      </c>
      <c r="B7" s="2">
        <v>2.0833333333333332E-2</v>
      </c>
      <c r="C7" s="2">
        <v>3.125E-2</v>
      </c>
      <c r="D7" s="56">
        <v>3799</v>
      </c>
      <c r="E7" s="53">
        <v>0</v>
      </c>
      <c r="F7" s="56">
        <v>3799</v>
      </c>
      <c r="G7" s="57"/>
    </row>
    <row r="8" spans="1:7" ht="18.75" x14ac:dyDescent="0.3">
      <c r="A8" s="20">
        <v>4</v>
      </c>
      <c r="B8" s="4">
        <v>3.125E-2</v>
      </c>
      <c r="C8" s="4">
        <v>4.1666666666666699E-2</v>
      </c>
      <c r="D8" s="56">
        <v>3731.3535589261664</v>
      </c>
      <c r="E8" s="53">
        <v>0</v>
      </c>
      <c r="F8" s="56">
        <v>3731.3535589261664</v>
      </c>
      <c r="G8" s="57"/>
    </row>
    <row r="9" spans="1:7" ht="18.75" x14ac:dyDescent="0.3">
      <c r="A9" s="20">
        <v>5</v>
      </c>
      <c r="B9" s="4">
        <v>4.1666666666666699E-2</v>
      </c>
      <c r="C9" s="4">
        <v>5.2083333333333398E-2</v>
      </c>
      <c r="D9" s="56">
        <v>3775</v>
      </c>
      <c r="E9" s="53">
        <v>0</v>
      </c>
      <c r="F9" s="56">
        <v>3775</v>
      </c>
      <c r="G9" s="57"/>
    </row>
    <row r="10" spans="1:7" ht="18.75" x14ac:dyDescent="0.3">
      <c r="A10" s="20">
        <v>6</v>
      </c>
      <c r="B10" s="4">
        <v>5.2083333333333301E-2</v>
      </c>
      <c r="C10" s="4">
        <v>6.25E-2</v>
      </c>
      <c r="D10" s="56">
        <v>3749.0081680276821</v>
      </c>
      <c r="E10" s="53">
        <v>0</v>
      </c>
      <c r="F10" s="56">
        <v>3749.0081680276821</v>
      </c>
      <c r="G10" s="57"/>
    </row>
    <row r="11" spans="1:7" ht="18.75" x14ac:dyDescent="0.3">
      <c r="A11" s="20">
        <v>7</v>
      </c>
      <c r="B11" s="4">
        <v>6.25E-2</v>
      </c>
      <c r="C11" s="4">
        <v>7.2916666666666699E-2</v>
      </c>
      <c r="D11" s="56">
        <v>3753.1621936986267</v>
      </c>
      <c r="E11" s="53">
        <v>0</v>
      </c>
      <c r="F11" s="56">
        <v>3753.1621936986267</v>
      </c>
      <c r="G11" s="57"/>
    </row>
    <row r="12" spans="1:7" ht="18.75" x14ac:dyDescent="0.3">
      <c r="A12" s="20">
        <v>8</v>
      </c>
      <c r="B12" s="4">
        <v>7.2916666666666699E-2</v>
      </c>
      <c r="C12" s="4">
        <v>8.3333333333333398E-2</v>
      </c>
      <c r="D12" s="56">
        <v>3736.5460910148477</v>
      </c>
      <c r="E12" s="53">
        <v>0</v>
      </c>
      <c r="F12" s="56">
        <v>3736.5460910148477</v>
      </c>
      <c r="G12" s="57"/>
    </row>
    <row r="13" spans="1:7" ht="18.75" x14ac:dyDescent="0.3">
      <c r="A13" s="20">
        <v>9</v>
      </c>
      <c r="B13" s="4">
        <v>8.3333333333333301E-2</v>
      </c>
      <c r="C13" s="4">
        <v>9.375E-2</v>
      </c>
      <c r="D13" s="56">
        <v>3730</v>
      </c>
      <c r="E13" s="53">
        <v>0</v>
      </c>
      <c r="F13" s="56">
        <v>3730</v>
      </c>
      <c r="G13" s="57"/>
    </row>
    <row r="14" spans="1:7" ht="18.75" x14ac:dyDescent="0.3">
      <c r="A14" s="20">
        <v>10</v>
      </c>
      <c r="B14" s="4">
        <v>9.375E-2</v>
      </c>
      <c r="C14" s="4">
        <v>0.104166666666667</v>
      </c>
      <c r="D14" s="56">
        <v>3727.1995332552219</v>
      </c>
      <c r="E14" s="53">
        <v>0</v>
      </c>
      <c r="F14" s="56">
        <v>3727.1995332552219</v>
      </c>
      <c r="G14" s="57"/>
    </row>
    <row r="15" spans="1:7" ht="18.75" x14ac:dyDescent="0.3">
      <c r="A15" s="20">
        <v>11</v>
      </c>
      <c r="B15" s="4">
        <v>0.104166666666667</v>
      </c>
      <c r="C15" s="4">
        <v>0.11458333333333399</v>
      </c>
      <c r="D15" s="56">
        <v>3760.4317386227804</v>
      </c>
      <c r="E15" s="53">
        <v>0</v>
      </c>
      <c r="F15" s="56">
        <v>3760.4317386227804</v>
      </c>
      <c r="G15" s="57"/>
    </row>
    <row r="16" spans="1:7" ht="18.75" x14ac:dyDescent="0.3">
      <c r="A16" s="20">
        <v>12</v>
      </c>
      <c r="B16" s="4">
        <v>0.114583333333333</v>
      </c>
      <c r="C16" s="4">
        <v>0.125</v>
      </c>
      <c r="D16" s="56">
        <v>3745</v>
      </c>
      <c r="E16" s="53">
        <v>0</v>
      </c>
      <c r="F16" s="56">
        <v>3745</v>
      </c>
      <c r="G16" s="57"/>
    </row>
    <row r="17" spans="1:7" ht="18.75" x14ac:dyDescent="0.3">
      <c r="A17" s="20">
        <v>13</v>
      </c>
      <c r="B17" s="4">
        <v>0.125</v>
      </c>
      <c r="C17" s="4">
        <v>0.13541666666666699</v>
      </c>
      <c r="D17" s="56">
        <v>3709.5449241537062</v>
      </c>
      <c r="E17" s="53">
        <v>0</v>
      </c>
      <c r="F17" s="56">
        <v>3709.5449241537062</v>
      </c>
      <c r="G17" s="57"/>
    </row>
    <row r="18" spans="1:7" ht="18.75" x14ac:dyDescent="0.3">
      <c r="A18" s="20">
        <v>14</v>
      </c>
      <c r="B18" s="4">
        <v>0.13541666666666699</v>
      </c>
      <c r="C18" s="4">
        <v>0.14583333333333401</v>
      </c>
      <c r="D18" s="56">
        <v>3705.3908984827617</v>
      </c>
      <c r="E18" s="53">
        <v>0</v>
      </c>
      <c r="F18" s="56">
        <v>3705.3908984827617</v>
      </c>
      <c r="G18" s="57"/>
    </row>
    <row r="19" spans="1:7" ht="18.75" x14ac:dyDescent="0.3">
      <c r="A19" s="20">
        <v>15</v>
      </c>
      <c r="B19" s="4">
        <v>0.14583333333333301</v>
      </c>
      <c r="C19" s="4">
        <v>0.15625</v>
      </c>
      <c r="D19" s="56">
        <v>3653.4655775959518</v>
      </c>
      <c r="E19" s="53">
        <v>0</v>
      </c>
      <c r="F19" s="56">
        <v>3653.4655775959518</v>
      </c>
      <c r="G19" s="57"/>
    </row>
    <row r="20" spans="1:7" ht="18.75" x14ac:dyDescent="0.3">
      <c r="A20" s="20">
        <v>16</v>
      </c>
      <c r="B20" s="4">
        <v>0.15625</v>
      </c>
      <c r="C20" s="4">
        <v>0.16666666666666699</v>
      </c>
      <c r="D20" s="56">
        <v>3664.88914819105</v>
      </c>
      <c r="E20" s="53">
        <v>0</v>
      </c>
      <c r="F20" s="56">
        <v>3664.88914819105</v>
      </c>
      <c r="G20" s="57"/>
    </row>
    <row r="21" spans="1:7" ht="18.75" x14ac:dyDescent="0.3">
      <c r="A21" s="20">
        <v>17</v>
      </c>
      <c r="B21" s="4">
        <v>0.16666666666666699</v>
      </c>
      <c r="C21" s="4">
        <v>0.17708333333333401</v>
      </c>
      <c r="D21" s="56">
        <v>3682.5437572925653</v>
      </c>
      <c r="E21" s="53">
        <v>0</v>
      </c>
      <c r="F21" s="56">
        <v>3682.5437572925653</v>
      </c>
      <c r="G21" s="57"/>
    </row>
    <row r="22" spans="1:7" ht="18.75" x14ac:dyDescent="0.3">
      <c r="A22" s="20">
        <v>18</v>
      </c>
      <c r="B22" s="4">
        <v>0.17708333333333301</v>
      </c>
      <c r="C22" s="4">
        <v>0.1875</v>
      </c>
      <c r="D22" s="56">
        <v>3634.7724620766999</v>
      </c>
      <c r="E22" s="53">
        <v>0</v>
      </c>
      <c r="F22" s="56">
        <v>3634.7724620766999</v>
      </c>
      <c r="G22" s="57"/>
    </row>
    <row r="23" spans="1:7" ht="18.75" x14ac:dyDescent="0.3">
      <c r="A23" s="20">
        <v>19</v>
      </c>
      <c r="B23" s="4">
        <v>0.1875</v>
      </c>
      <c r="C23" s="4">
        <v>0.19791666666666666</v>
      </c>
      <c r="D23" s="56">
        <v>3645.1575262540618</v>
      </c>
      <c r="E23" s="53">
        <v>0</v>
      </c>
      <c r="F23" s="56">
        <v>3645.1575262540618</v>
      </c>
      <c r="G23" s="57"/>
    </row>
    <row r="24" spans="1:7" s="6" customFormat="1" ht="18.75" x14ac:dyDescent="0.3">
      <c r="A24" s="20">
        <v>20</v>
      </c>
      <c r="B24" s="4">
        <v>0.19791666666666699</v>
      </c>
      <c r="C24" s="4">
        <v>0.20833333333333401</v>
      </c>
      <c r="D24" s="56">
        <v>3622.3103850638654</v>
      </c>
      <c r="E24" s="53">
        <v>0</v>
      </c>
      <c r="F24" s="56">
        <v>3622.3103850638654</v>
      </c>
      <c r="G24" s="57"/>
    </row>
    <row r="25" spans="1:7" ht="18.75" x14ac:dyDescent="0.3">
      <c r="A25" s="20">
        <v>21</v>
      </c>
      <c r="B25" s="4">
        <v>0.20833333333333301</v>
      </c>
      <c r="C25" s="4">
        <v>0.21875</v>
      </c>
      <c r="D25" s="56">
        <v>3594.1980163357466</v>
      </c>
      <c r="E25" s="53">
        <v>0</v>
      </c>
      <c r="F25" s="56">
        <v>3594.1980163357466</v>
      </c>
      <c r="G25" s="57"/>
    </row>
    <row r="26" spans="1:7" ht="18.75" x14ac:dyDescent="0.3">
      <c r="A26" s="20">
        <v>22</v>
      </c>
      <c r="B26" s="4">
        <v>0.21875</v>
      </c>
      <c r="C26" s="4">
        <v>0.22916666666666699</v>
      </c>
      <c r="D26" s="56">
        <v>3628.4064177359769</v>
      </c>
      <c r="E26" s="53">
        <v>0</v>
      </c>
      <c r="F26" s="56">
        <v>3628.4064177359769</v>
      </c>
      <c r="G26" s="57"/>
    </row>
    <row r="27" spans="1:7" ht="18.75" x14ac:dyDescent="0.3">
      <c r="A27" s="20">
        <v>23</v>
      </c>
      <c r="B27" s="4">
        <v>0.22916666666666699</v>
      </c>
      <c r="C27" s="4">
        <v>0.23958333333333401</v>
      </c>
      <c r="D27" s="56">
        <v>3842.8579929985021</v>
      </c>
      <c r="E27" s="53">
        <v>0</v>
      </c>
      <c r="F27" s="56">
        <v>3842.8579929985021</v>
      </c>
      <c r="G27" s="57"/>
    </row>
    <row r="28" spans="1:7" ht="18.75" x14ac:dyDescent="0.3">
      <c r="A28" s="20">
        <v>24</v>
      </c>
      <c r="B28" s="4">
        <v>0.23958333333333301</v>
      </c>
      <c r="C28" s="4">
        <v>0.25</v>
      </c>
      <c r="D28" s="56">
        <v>3945.4001166857747</v>
      </c>
      <c r="E28" s="53">
        <v>0</v>
      </c>
      <c r="F28" s="56">
        <v>3945.4001166857747</v>
      </c>
      <c r="G28" s="57"/>
    </row>
    <row r="29" spans="1:7" ht="18.75" x14ac:dyDescent="0.3">
      <c r="A29" s="20">
        <v>25</v>
      </c>
      <c r="B29" s="4">
        <v>0.25</v>
      </c>
      <c r="C29" s="4">
        <v>0.26041666666666702</v>
      </c>
      <c r="D29" s="56">
        <v>4156.6842473742045</v>
      </c>
      <c r="E29" s="53">
        <v>0</v>
      </c>
      <c r="F29" s="56">
        <v>4156.6842473742045</v>
      </c>
      <c r="G29" s="57"/>
    </row>
    <row r="30" spans="1:7" ht="18.75" x14ac:dyDescent="0.3">
      <c r="A30" s="20">
        <v>26</v>
      </c>
      <c r="B30" s="4">
        <v>0.26041666666666702</v>
      </c>
      <c r="C30" s="4">
        <v>0.27083333333333398</v>
      </c>
      <c r="D30" s="56">
        <v>4435.9905484243563</v>
      </c>
      <c r="E30" s="53">
        <v>0</v>
      </c>
      <c r="F30" s="56">
        <v>4435.9905484243563</v>
      </c>
      <c r="G30" s="57"/>
    </row>
    <row r="31" spans="1:7" ht="18.75" x14ac:dyDescent="0.3">
      <c r="A31" s="20">
        <v>27</v>
      </c>
      <c r="B31" s="4">
        <v>0.27083333333333298</v>
      </c>
      <c r="C31" s="4">
        <v>0.28125</v>
      </c>
      <c r="D31" s="56">
        <v>4496.7327887977463</v>
      </c>
      <c r="E31" s="53">
        <v>0</v>
      </c>
      <c r="F31" s="56">
        <v>4496.7327887977463</v>
      </c>
      <c r="G31" s="57"/>
    </row>
    <row r="32" spans="1:7" ht="18.75" x14ac:dyDescent="0.3">
      <c r="A32" s="20">
        <v>28</v>
      </c>
      <c r="B32" s="4">
        <v>0.28125</v>
      </c>
      <c r="C32" s="4">
        <v>0.29166666666666702</v>
      </c>
      <c r="D32" s="56">
        <v>4513.3488914815252</v>
      </c>
      <c r="E32" s="53">
        <v>0</v>
      </c>
      <c r="F32" s="56">
        <v>4513.3488914815252</v>
      </c>
      <c r="G32" s="57"/>
    </row>
    <row r="33" spans="1:7" ht="18.75" x14ac:dyDescent="0.3">
      <c r="A33" s="20">
        <v>29</v>
      </c>
      <c r="B33" s="4">
        <v>0.29166666666666702</v>
      </c>
      <c r="C33" s="4">
        <v>0.30208333333333398</v>
      </c>
      <c r="D33" s="56">
        <v>4569.4282380392797</v>
      </c>
      <c r="E33" s="53">
        <v>0</v>
      </c>
      <c r="F33" s="56">
        <v>4569.4282380392797</v>
      </c>
      <c r="G33" s="57"/>
    </row>
    <row r="34" spans="1:7" ht="18.75" x14ac:dyDescent="0.3">
      <c r="A34" s="20">
        <v>30</v>
      </c>
      <c r="B34" s="4">
        <v>0.30208333333333298</v>
      </c>
      <c r="C34" s="4">
        <v>0.3125</v>
      </c>
      <c r="D34" s="56">
        <v>4564.2357059505994</v>
      </c>
      <c r="E34" s="53">
        <v>0</v>
      </c>
      <c r="F34" s="56">
        <v>4564.2357059505994</v>
      </c>
      <c r="G34" s="57"/>
    </row>
    <row r="35" spans="1:7" ht="18.75" x14ac:dyDescent="0.3">
      <c r="A35" s="20">
        <v>31</v>
      </c>
      <c r="B35" s="4">
        <v>0.3125</v>
      </c>
      <c r="C35" s="4">
        <v>0.32291666666666702</v>
      </c>
      <c r="D35" s="56">
        <v>4518.7906651104631</v>
      </c>
      <c r="E35" s="53">
        <v>0</v>
      </c>
      <c r="F35" s="56">
        <v>4518.7906651104631</v>
      </c>
      <c r="G35" s="57"/>
    </row>
    <row r="36" spans="1:7" ht="18.75" x14ac:dyDescent="0.3">
      <c r="A36" s="20">
        <v>32</v>
      </c>
      <c r="B36" s="4">
        <v>0.32291666666666702</v>
      </c>
      <c r="C36" s="4">
        <v>0.33333333333333398</v>
      </c>
      <c r="D36" s="56">
        <v>4391.5736289377783</v>
      </c>
      <c r="E36" s="53">
        <v>0</v>
      </c>
      <c r="F36" s="56">
        <v>4391.5736289377783</v>
      </c>
      <c r="G36" s="57"/>
    </row>
    <row r="37" spans="1:7" s="7" customFormat="1" ht="18.75" x14ac:dyDescent="0.3">
      <c r="A37" s="20">
        <v>33</v>
      </c>
      <c r="B37" s="4">
        <v>0.33333333333333298</v>
      </c>
      <c r="C37" s="4">
        <v>0.34375</v>
      </c>
      <c r="D37" s="56">
        <v>4283.5144399062829</v>
      </c>
      <c r="E37" s="53">
        <v>0</v>
      </c>
      <c r="F37" s="56">
        <v>4283.5144399062829</v>
      </c>
      <c r="G37" s="57"/>
    </row>
    <row r="38" spans="1:7" ht="15.75" customHeight="1" x14ac:dyDescent="0.3">
      <c r="A38" s="20">
        <v>34</v>
      </c>
      <c r="B38" s="4">
        <v>0.34375</v>
      </c>
      <c r="C38" s="4">
        <v>0.35416666666666702</v>
      </c>
      <c r="D38" s="56">
        <v>4206.1039119016214</v>
      </c>
      <c r="E38" s="53">
        <v>0</v>
      </c>
      <c r="F38" s="56">
        <v>4206.1039119016214</v>
      </c>
      <c r="G38" s="57"/>
    </row>
    <row r="39" spans="1:7" ht="18.75" x14ac:dyDescent="0.3">
      <c r="A39" s="20">
        <v>35</v>
      </c>
      <c r="B39" s="4">
        <v>0.35416666666666702</v>
      </c>
      <c r="C39" s="4">
        <v>0.36458333333333398</v>
      </c>
      <c r="D39" s="56">
        <v>4031.9565110848334</v>
      </c>
      <c r="E39" s="53">
        <v>0</v>
      </c>
      <c r="F39" s="56">
        <v>4031.9565110848334</v>
      </c>
      <c r="G39" s="57"/>
    </row>
    <row r="40" spans="1:7" ht="18.75" x14ac:dyDescent="0.3">
      <c r="A40" s="20">
        <v>36</v>
      </c>
      <c r="B40" s="4">
        <v>0.36458333333333298</v>
      </c>
      <c r="C40" s="4">
        <v>0.375</v>
      </c>
      <c r="D40" s="56">
        <v>3953.6417036169287</v>
      </c>
      <c r="E40" s="53">
        <v>0</v>
      </c>
      <c r="F40" s="56">
        <v>3953.6417036169287</v>
      </c>
      <c r="G40" s="57"/>
    </row>
    <row r="41" spans="1:7" ht="18.75" x14ac:dyDescent="0.3">
      <c r="A41" s="20">
        <v>37</v>
      </c>
      <c r="B41" s="4">
        <v>0.375</v>
      </c>
      <c r="C41" s="4">
        <v>0.38541666666666702</v>
      </c>
      <c r="D41" s="56">
        <v>3920</v>
      </c>
      <c r="E41" s="53">
        <v>0</v>
      </c>
      <c r="F41" s="56">
        <v>3920</v>
      </c>
      <c r="G41" s="57"/>
    </row>
    <row r="42" spans="1:7" ht="18.75" x14ac:dyDescent="0.3">
      <c r="A42" s="20">
        <v>38</v>
      </c>
      <c r="B42" s="4">
        <v>0.38541666666666702</v>
      </c>
      <c r="C42" s="4">
        <v>0.39583333333333398</v>
      </c>
      <c r="D42" s="56">
        <v>3921.6975058339685</v>
      </c>
      <c r="E42" s="53">
        <v>0</v>
      </c>
      <c r="F42" s="56">
        <v>3921.6975058339685</v>
      </c>
      <c r="G42" s="57"/>
    </row>
    <row r="43" spans="1:7" ht="18.75" x14ac:dyDescent="0.3">
      <c r="A43" s="20">
        <v>39</v>
      </c>
      <c r="B43" s="4">
        <v>0.39583333333333298</v>
      </c>
      <c r="C43" s="4">
        <v>0.40625</v>
      </c>
      <c r="D43" s="56">
        <v>3821.7430805130898</v>
      </c>
      <c r="E43" s="53">
        <v>0</v>
      </c>
      <c r="F43" s="56">
        <v>3821.7430805130898</v>
      </c>
      <c r="G43" s="57"/>
    </row>
    <row r="44" spans="1:7" ht="18.75" x14ac:dyDescent="0.3">
      <c r="A44" s="20">
        <v>40</v>
      </c>
      <c r="B44" s="4">
        <v>0.40625</v>
      </c>
      <c r="C44" s="4">
        <v>0.41666666666666702</v>
      </c>
      <c r="D44" s="56">
        <v>3752.5131271875416</v>
      </c>
      <c r="E44" s="53">
        <v>0</v>
      </c>
      <c r="F44" s="56">
        <v>3752.5131271875416</v>
      </c>
      <c r="G44" s="57"/>
    </row>
    <row r="45" spans="1:7" s="6" customFormat="1" ht="18.75" x14ac:dyDescent="0.3">
      <c r="A45" s="20">
        <v>41</v>
      </c>
      <c r="B45" s="4">
        <v>0.41666666666666702</v>
      </c>
      <c r="C45" s="4">
        <v>0.42708333333333398</v>
      </c>
      <c r="D45" s="56">
        <v>3747.2556884477522</v>
      </c>
      <c r="E45" s="53">
        <v>0</v>
      </c>
      <c r="F45" s="56">
        <v>3747.2556884477522</v>
      </c>
      <c r="G45" s="57"/>
    </row>
    <row r="46" spans="1:7" ht="18.75" x14ac:dyDescent="0.3">
      <c r="A46" s="20">
        <v>42</v>
      </c>
      <c r="B46" s="4">
        <v>0.42708333333333298</v>
      </c>
      <c r="C46" s="4">
        <v>0.4375</v>
      </c>
      <c r="D46" s="56">
        <v>3770.2201808631526</v>
      </c>
      <c r="E46" s="53">
        <v>0</v>
      </c>
      <c r="F46" s="56">
        <v>3770.2201808631526</v>
      </c>
      <c r="G46" s="57"/>
    </row>
    <row r="47" spans="1:7" ht="18.75" x14ac:dyDescent="0.3">
      <c r="A47" s="20">
        <v>43</v>
      </c>
      <c r="B47" s="4">
        <v>0.4375</v>
      </c>
      <c r="C47" s="4">
        <v>0.44791666666666702</v>
      </c>
      <c r="D47" s="56">
        <v>3742.3978150521871</v>
      </c>
      <c r="E47" s="53">
        <v>0</v>
      </c>
      <c r="F47" s="56">
        <v>3742.3978150521871</v>
      </c>
      <c r="G47" s="57"/>
    </row>
    <row r="48" spans="1:7" ht="18.75" x14ac:dyDescent="0.3">
      <c r="A48" s="20">
        <v>44</v>
      </c>
      <c r="B48" s="4">
        <v>0.44791666666666702</v>
      </c>
      <c r="C48" s="4">
        <v>0.45833333333333398</v>
      </c>
      <c r="D48" s="56">
        <v>3697.0828471408722</v>
      </c>
      <c r="E48" s="53">
        <v>0</v>
      </c>
      <c r="F48" s="56">
        <v>3697.0828471408722</v>
      </c>
      <c r="G48" s="57"/>
    </row>
    <row r="49" spans="1:7" ht="18.75" x14ac:dyDescent="0.3">
      <c r="A49" s="20">
        <v>45</v>
      </c>
      <c r="B49" s="4">
        <v>0.45833333333333298</v>
      </c>
      <c r="C49" s="4">
        <v>0.46875</v>
      </c>
      <c r="D49" s="56">
        <v>3572.7087222867399</v>
      </c>
      <c r="E49" s="53">
        <v>0</v>
      </c>
      <c r="F49" s="56">
        <v>3572.7087222867399</v>
      </c>
      <c r="G49" s="57"/>
    </row>
    <row r="50" spans="1:7" ht="18.75" x14ac:dyDescent="0.3">
      <c r="A50" s="20">
        <v>46</v>
      </c>
      <c r="B50" s="4">
        <v>0.46875</v>
      </c>
      <c r="C50" s="4">
        <v>0.47916666666666702</v>
      </c>
      <c r="D50" s="56">
        <v>3489.3815635936321</v>
      </c>
      <c r="E50" s="53">
        <v>0</v>
      </c>
      <c r="F50" s="56">
        <v>3489.3815635936321</v>
      </c>
      <c r="G50" s="57"/>
    </row>
    <row r="51" spans="1:7" ht="15.75" customHeight="1" x14ac:dyDescent="0.3">
      <c r="A51" s="20">
        <v>47</v>
      </c>
      <c r="B51" s="4">
        <v>0.47916666666666702</v>
      </c>
      <c r="C51" s="4">
        <v>0.48958333333333398</v>
      </c>
      <c r="D51" s="56">
        <v>3437.4562427068222</v>
      </c>
      <c r="E51" s="53">
        <v>0</v>
      </c>
      <c r="F51" s="56">
        <v>3437.4562427068222</v>
      </c>
      <c r="G51" s="57"/>
    </row>
    <row r="52" spans="1:7" ht="18.75" x14ac:dyDescent="0.3">
      <c r="A52" s="20">
        <v>48</v>
      </c>
      <c r="B52" s="4">
        <v>0.48958333333333298</v>
      </c>
      <c r="C52" s="4">
        <v>0.5</v>
      </c>
      <c r="D52" s="56">
        <v>3344.3229871642397</v>
      </c>
      <c r="E52" s="53">
        <v>0</v>
      </c>
      <c r="F52" s="56">
        <v>3344.3229871642397</v>
      </c>
      <c r="G52" s="57"/>
    </row>
    <row r="53" spans="1:7" ht="18.75" x14ac:dyDescent="0.3">
      <c r="A53" s="20">
        <v>49</v>
      </c>
      <c r="B53" s="4">
        <v>0.5</v>
      </c>
      <c r="C53" s="4">
        <v>0.51041666666666696</v>
      </c>
      <c r="D53" s="56">
        <v>3274.0991831969177</v>
      </c>
      <c r="E53" s="53">
        <v>0</v>
      </c>
      <c r="F53" s="56">
        <v>3274.0991831969177</v>
      </c>
      <c r="G53" s="57"/>
    </row>
    <row r="54" spans="1:7" ht="18.75" x14ac:dyDescent="0.3">
      <c r="A54" s="20">
        <v>50</v>
      </c>
      <c r="B54" s="4">
        <v>0.51041666666666696</v>
      </c>
      <c r="C54" s="4">
        <v>0.52083333333333404</v>
      </c>
      <c r="D54" s="56">
        <v>3281.680280046392</v>
      </c>
      <c r="E54" s="53">
        <v>0</v>
      </c>
      <c r="F54" s="56">
        <v>3281.680280046392</v>
      </c>
      <c r="G54" s="57"/>
    </row>
    <row r="55" spans="1:7" ht="18.75" x14ac:dyDescent="0.3">
      <c r="A55" s="20">
        <v>51</v>
      </c>
      <c r="B55" s="4">
        <v>0.52083333333333304</v>
      </c>
      <c r="C55" s="4">
        <v>0.53125</v>
      </c>
      <c r="D55" s="56">
        <v>3302.450408401116</v>
      </c>
      <c r="E55" s="53">
        <v>0</v>
      </c>
      <c r="F55" s="56">
        <v>3302.450408401116</v>
      </c>
      <c r="G55" s="57"/>
    </row>
    <row r="56" spans="1:7" ht="18.75" x14ac:dyDescent="0.3">
      <c r="A56" s="20">
        <v>52</v>
      </c>
      <c r="B56" s="4">
        <v>0.53125</v>
      </c>
      <c r="C56" s="4">
        <v>0.54166666666666696</v>
      </c>
      <c r="D56" s="56">
        <v>3240.1400233369441</v>
      </c>
      <c r="E56" s="53">
        <v>0</v>
      </c>
      <c r="F56" s="56">
        <v>3240.1400233369441</v>
      </c>
      <c r="G56" s="57"/>
    </row>
    <row r="57" spans="1:7" ht="18.75" x14ac:dyDescent="0.3">
      <c r="A57" s="20">
        <v>53</v>
      </c>
      <c r="B57" s="4">
        <v>0.54166666666666696</v>
      </c>
      <c r="C57" s="4">
        <v>0.55208333333333404</v>
      </c>
      <c r="D57" s="56">
        <v>3177.8296382727722</v>
      </c>
      <c r="E57" s="53">
        <v>0</v>
      </c>
      <c r="F57" s="56">
        <v>3177.8296382727722</v>
      </c>
      <c r="G57" s="57"/>
    </row>
    <row r="58" spans="1:7" ht="18.75" x14ac:dyDescent="0.3">
      <c r="A58" s="20">
        <v>54</v>
      </c>
      <c r="B58" s="4">
        <v>0.55208333333333304</v>
      </c>
      <c r="C58" s="4">
        <v>0.5625</v>
      </c>
      <c r="D58" s="56">
        <v>3117.36779463217</v>
      </c>
      <c r="E58" s="53">
        <v>0</v>
      </c>
      <c r="F58" s="56">
        <v>3117.36779463217</v>
      </c>
      <c r="G58" s="57"/>
    </row>
    <row r="59" spans="1:7" ht="18.75" x14ac:dyDescent="0.3">
      <c r="A59" s="20">
        <v>55</v>
      </c>
      <c r="B59" s="4">
        <v>0.5625</v>
      </c>
      <c r="C59" s="4">
        <v>0.57291666666666696</v>
      </c>
      <c r="D59" s="56">
        <v>3112.2791131852632</v>
      </c>
      <c r="E59" s="53">
        <v>0</v>
      </c>
      <c r="F59" s="56">
        <v>3112.2791131852632</v>
      </c>
      <c r="G59" s="57"/>
    </row>
    <row r="60" spans="1:7" ht="18.75" x14ac:dyDescent="0.3">
      <c r="A60" s="20">
        <v>56</v>
      </c>
      <c r="B60" s="4">
        <v>0.57291666666666696</v>
      </c>
      <c r="C60" s="4">
        <v>0.58333333333333404</v>
      </c>
      <c r="D60" s="56">
        <v>3115.5192532085998</v>
      </c>
      <c r="E60" s="53">
        <v>0</v>
      </c>
      <c r="F60" s="56">
        <v>3115.5192532085998</v>
      </c>
      <c r="G60" s="57"/>
    </row>
    <row r="61" spans="1:7" ht="18.75" x14ac:dyDescent="0.3">
      <c r="A61" s="20">
        <v>57</v>
      </c>
      <c r="B61" s="4">
        <v>0.58333333333333304</v>
      </c>
      <c r="C61" s="4">
        <v>0.59375</v>
      </c>
      <c r="D61" s="56">
        <v>3114.480746790864</v>
      </c>
      <c r="E61" s="53">
        <v>0</v>
      </c>
      <c r="F61" s="56">
        <v>3114.480746790864</v>
      </c>
      <c r="G61" s="57"/>
    </row>
    <row r="62" spans="1:7" ht="18.75" x14ac:dyDescent="0.3">
      <c r="A62" s="20">
        <v>58</v>
      </c>
      <c r="B62" s="4">
        <v>0.59375</v>
      </c>
      <c r="C62" s="4">
        <v>0.60416666666666696</v>
      </c>
      <c r="D62" s="56">
        <v>3125</v>
      </c>
      <c r="E62" s="53">
        <v>0</v>
      </c>
      <c r="F62" s="56">
        <v>3125</v>
      </c>
      <c r="G62" s="57"/>
    </row>
    <row r="63" spans="1:7" ht="18.75" x14ac:dyDescent="0.3">
      <c r="A63" s="20">
        <v>59</v>
      </c>
      <c r="B63" s="4">
        <v>0.60416666666666696</v>
      </c>
      <c r="C63" s="4">
        <v>0.61458333333333404</v>
      </c>
      <c r="D63" s="56">
        <v>3125.9167794629752</v>
      </c>
      <c r="E63" s="53">
        <v>0</v>
      </c>
      <c r="F63" s="56">
        <v>3125.9167794629752</v>
      </c>
      <c r="G63" s="57"/>
    </row>
    <row r="64" spans="1:7" ht="18.75" x14ac:dyDescent="0.3">
      <c r="A64" s="20">
        <v>60</v>
      </c>
      <c r="B64" s="4">
        <v>0.61458333333333304</v>
      </c>
      <c r="C64" s="4">
        <v>0.625</v>
      </c>
      <c r="D64" s="56">
        <v>3120</v>
      </c>
      <c r="E64" s="53">
        <v>0</v>
      </c>
      <c r="F64" s="56">
        <v>3120</v>
      </c>
      <c r="G64" s="57"/>
    </row>
    <row r="65" spans="1:7" ht="18.75" x14ac:dyDescent="0.3">
      <c r="A65" s="20">
        <v>61</v>
      </c>
      <c r="B65" s="4">
        <v>0.625</v>
      </c>
      <c r="C65" s="4">
        <v>0.63541666666666696</v>
      </c>
      <c r="D65" s="56">
        <v>3183.7399756123277</v>
      </c>
      <c r="E65" s="53">
        <v>0</v>
      </c>
      <c r="F65" s="56">
        <v>3183.7399756123277</v>
      </c>
      <c r="G65" s="57"/>
    </row>
    <row r="66" spans="1:7" ht="18.75" x14ac:dyDescent="0.3">
      <c r="A66" s="20">
        <v>62</v>
      </c>
      <c r="B66" s="4">
        <v>0.63541666666666696</v>
      </c>
      <c r="C66" s="4">
        <v>0.64583333333333404</v>
      </c>
      <c r="D66" s="56">
        <v>3172.637106184091</v>
      </c>
      <c r="E66" s="53">
        <v>0</v>
      </c>
      <c r="F66" s="56">
        <v>3172.637106184091</v>
      </c>
      <c r="G66" s="57"/>
    </row>
    <row r="67" spans="1:7" ht="18.75" x14ac:dyDescent="0.3">
      <c r="A67" s="20">
        <v>63</v>
      </c>
      <c r="B67" s="4">
        <v>0.64583333333333304</v>
      </c>
      <c r="C67" s="4">
        <v>0.65625</v>
      </c>
      <c r="D67" s="56">
        <v>3177.8296382727722</v>
      </c>
      <c r="E67" s="53">
        <v>0</v>
      </c>
      <c r="F67" s="56">
        <v>3177.8296382727722</v>
      </c>
      <c r="G67" s="57"/>
    </row>
    <row r="68" spans="1:7" ht="18.75" x14ac:dyDescent="0.3">
      <c r="A68" s="20">
        <v>64</v>
      </c>
      <c r="B68" s="4">
        <v>0.65625</v>
      </c>
      <c r="C68" s="4">
        <v>0.66666666666666696</v>
      </c>
      <c r="D68" s="56">
        <v>3141.481913652005</v>
      </c>
      <c r="E68" s="53">
        <v>0</v>
      </c>
      <c r="F68" s="56">
        <v>3141.481913652005</v>
      </c>
      <c r="G68" s="57"/>
    </row>
    <row r="69" spans="1:7" ht="18.75" x14ac:dyDescent="0.3">
      <c r="A69" s="20">
        <v>65</v>
      </c>
      <c r="B69" s="4">
        <v>0.66666666666666696</v>
      </c>
      <c r="C69" s="4">
        <v>0.67708333333333404</v>
      </c>
      <c r="D69" s="56">
        <v>3198.4762882144273</v>
      </c>
      <c r="E69" s="53">
        <v>0</v>
      </c>
      <c r="F69" s="56">
        <v>3198.4762882144273</v>
      </c>
      <c r="G69" s="57"/>
    </row>
    <row r="70" spans="1:7" ht="18.75" x14ac:dyDescent="0.3">
      <c r="A70" s="20">
        <v>66</v>
      </c>
      <c r="B70" s="4">
        <v>0.67708333333333304</v>
      </c>
      <c r="C70" s="4">
        <v>0.6875</v>
      </c>
      <c r="D70" s="56">
        <v>3240.1400233369441</v>
      </c>
      <c r="E70" s="53">
        <v>0</v>
      </c>
      <c r="F70" s="56">
        <v>3240.1400233369441</v>
      </c>
      <c r="G70" s="57"/>
    </row>
    <row r="71" spans="1:7" ht="18.75" x14ac:dyDescent="0.3">
      <c r="A71" s="20">
        <v>67</v>
      </c>
      <c r="B71" s="4">
        <v>0.6875</v>
      </c>
      <c r="C71" s="4">
        <v>0.69791666666666696</v>
      </c>
      <c r="D71" s="56">
        <v>3343.9906651105639</v>
      </c>
      <c r="E71" s="53">
        <v>0</v>
      </c>
      <c r="F71" s="56">
        <v>3343.9906651105639</v>
      </c>
      <c r="G71" s="57"/>
    </row>
    <row r="72" spans="1:7" ht="18.75" x14ac:dyDescent="0.3">
      <c r="A72" s="20">
        <v>68</v>
      </c>
      <c r="B72" s="4">
        <v>0.69791666666666696</v>
      </c>
      <c r="C72" s="4">
        <v>0.70833333333333404</v>
      </c>
      <c r="D72" s="56">
        <v>3406.3010501747358</v>
      </c>
      <c r="E72" s="53">
        <v>0</v>
      </c>
      <c r="F72" s="56">
        <v>3406.3010501747358</v>
      </c>
      <c r="G72" s="57"/>
    </row>
    <row r="73" spans="1:7" ht="18.75" x14ac:dyDescent="0.3">
      <c r="A73" s="20">
        <v>69</v>
      </c>
      <c r="B73" s="4">
        <v>0.70833333333333304</v>
      </c>
      <c r="C73" s="4">
        <v>0.71875</v>
      </c>
      <c r="D73" s="56">
        <v>3432.263710618141</v>
      </c>
      <c r="E73" s="53">
        <v>0</v>
      </c>
      <c r="F73" s="56">
        <v>3432.263710618141</v>
      </c>
      <c r="G73" s="57"/>
    </row>
    <row r="74" spans="1:7" ht="15.75" customHeight="1" x14ac:dyDescent="0.3">
      <c r="A74" s="20">
        <v>70</v>
      </c>
      <c r="B74" s="4">
        <v>0.71875</v>
      </c>
      <c r="C74" s="4">
        <v>0.72916666666666696</v>
      </c>
      <c r="D74" s="56">
        <v>3499.9743290545412</v>
      </c>
      <c r="E74" s="53">
        <v>0</v>
      </c>
      <c r="F74" s="56">
        <v>3499.9743290545412</v>
      </c>
      <c r="G74" s="57"/>
    </row>
    <row r="75" spans="1:7" ht="18.75" x14ac:dyDescent="0.3">
      <c r="A75" s="20">
        <v>71</v>
      </c>
      <c r="B75" s="4">
        <v>0.72916666666666696</v>
      </c>
      <c r="C75" s="4">
        <v>0.73958333333333404</v>
      </c>
      <c r="D75" s="56">
        <v>3567.4876312715714</v>
      </c>
      <c r="E75" s="53">
        <v>0</v>
      </c>
      <c r="F75" s="56">
        <v>3567.4876312715714</v>
      </c>
      <c r="G75" s="57"/>
    </row>
    <row r="76" spans="1:7" s="7" customFormat="1" ht="18.75" x14ac:dyDescent="0.3">
      <c r="A76" s="20">
        <v>72</v>
      </c>
      <c r="B76" s="4">
        <v>0.73958333333333304</v>
      </c>
      <c r="C76" s="4">
        <v>0.75</v>
      </c>
      <c r="D76" s="56">
        <v>3520.4796382727427</v>
      </c>
      <c r="E76" s="53">
        <v>0</v>
      </c>
      <c r="F76" s="56">
        <v>3520.4796382727427</v>
      </c>
      <c r="G76" s="57"/>
    </row>
    <row r="77" spans="1:7" s="6" customFormat="1" ht="15.75" customHeight="1" x14ac:dyDescent="0.3">
      <c r="A77" s="20">
        <v>73</v>
      </c>
      <c r="B77" s="4">
        <v>0.75</v>
      </c>
      <c r="C77" s="4">
        <v>0.76041666666666696</v>
      </c>
      <c r="D77" s="56">
        <v>3558.328004667138</v>
      </c>
      <c r="E77" s="53">
        <v>0</v>
      </c>
      <c r="F77" s="56">
        <v>3558.328004667138</v>
      </c>
      <c r="G77" s="57"/>
    </row>
    <row r="78" spans="1:7" ht="18.75" x14ac:dyDescent="0.3">
      <c r="A78" s="20">
        <v>74</v>
      </c>
      <c r="B78" s="4">
        <v>0.76041666666666663</v>
      </c>
      <c r="C78" s="4">
        <v>0.77083333333333404</v>
      </c>
      <c r="D78" s="56">
        <v>3695.4004667441395</v>
      </c>
      <c r="E78" s="53">
        <v>0</v>
      </c>
      <c r="F78" s="56">
        <v>3695.4004667441395</v>
      </c>
      <c r="G78" s="57"/>
    </row>
    <row r="79" spans="1:7" ht="18.75" x14ac:dyDescent="0.3">
      <c r="A79" s="20">
        <v>75</v>
      </c>
      <c r="B79" s="4">
        <v>0.77083333333333304</v>
      </c>
      <c r="C79" s="4">
        <v>0.78125</v>
      </c>
      <c r="D79" s="56">
        <v>3864.1837222867152</v>
      </c>
      <c r="E79" s="53">
        <v>0</v>
      </c>
      <c r="F79" s="56">
        <v>3864.1837222867152</v>
      </c>
      <c r="G79" s="57"/>
    </row>
    <row r="80" spans="1:7" ht="18.75" x14ac:dyDescent="0.3">
      <c r="A80" s="20">
        <v>76</v>
      </c>
      <c r="B80" s="4">
        <v>0.78125</v>
      </c>
      <c r="C80" s="4">
        <v>0.79166666666666696</v>
      </c>
      <c r="D80" s="56">
        <v>3992.0498249704847</v>
      </c>
      <c r="E80" s="53">
        <v>0</v>
      </c>
      <c r="F80" s="56">
        <v>3992.0498249704847</v>
      </c>
      <c r="G80" s="57"/>
    </row>
    <row r="81" spans="1:7" ht="18.75" x14ac:dyDescent="0.3">
      <c r="A81" s="20">
        <v>77</v>
      </c>
      <c r="B81" s="4">
        <v>0.79166666666666696</v>
      </c>
      <c r="C81" s="4">
        <v>0.80208333333333404</v>
      </c>
      <c r="D81" s="56">
        <v>4097.4114935819116</v>
      </c>
      <c r="E81" s="53">
        <v>0</v>
      </c>
      <c r="F81" s="56">
        <v>4097.4114935819116</v>
      </c>
      <c r="G81" s="57"/>
    </row>
    <row r="82" spans="1:7" ht="18.75" x14ac:dyDescent="0.3">
      <c r="A82" s="20">
        <v>78</v>
      </c>
      <c r="B82" s="4">
        <v>0.80208333333333304</v>
      </c>
      <c r="C82" s="4">
        <v>0.8125</v>
      </c>
      <c r="D82" s="56">
        <v>4144.6791131851742</v>
      </c>
      <c r="E82" s="53">
        <v>0</v>
      </c>
      <c r="F82" s="56">
        <v>4144.6791131851742</v>
      </c>
      <c r="G82" s="57"/>
    </row>
    <row r="83" spans="1:7" ht="15.75" customHeight="1" x14ac:dyDescent="0.3">
      <c r="A83" s="20">
        <v>79</v>
      </c>
      <c r="B83" s="4">
        <v>0.8125</v>
      </c>
      <c r="C83" s="4">
        <v>0.82291666666666696</v>
      </c>
      <c r="D83" s="56">
        <v>4127.6134670358178</v>
      </c>
      <c r="E83" s="53">
        <v>0</v>
      </c>
      <c r="F83" s="56">
        <v>4127.6134670358178</v>
      </c>
      <c r="G83" s="57"/>
    </row>
    <row r="84" spans="1:7" ht="18.75" x14ac:dyDescent="0.3">
      <c r="A84" s="20">
        <v>80</v>
      </c>
      <c r="B84" s="4">
        <v>0.82291666666666696</v>
      </c>
      <c r="C84" s="4">
        <v>0.83333333333333404</v>
      </c>
      <c r="D84" s="56">
        <v>4081.0062726075835</v>
      </c>
      <c r="E84" s="53">
        <v>0</v>
      </c>
      <c r="F84" s="56">
        <v>4081.0062726075835</v>
      </c>
      <c r="G84" s="57"/>
    </row>
    <row r="85" spans="1:7" ht="18.75" x14ac:dyDescent="0.3">
      <c r="A85" s="20">
        <v>81</v>
      </c>
      <c r="B85" s="4">
        <v>0.83333333333333304</v>
      </c>
      <c r="C85" s="4">
        <v>0.84375</v>
      </c>
      <c r="D85" s="56">
        <v>3926.6846732785416</v>
      </c>
      <c r="E85" s="53">
        <v>0</v>
      </c>
      <c r="F85" s="56">
        <v>3926.6846732785416</v>
      </c>
      <c r="G85" s="57"/>
    </row>
    <row r="86" spans="1:7" ht="18.75" x14ac:dyDescent="0.3">
      <c r="A86" s="20">
        <v>82</v>
      </c>
      <c r="B86" s="4">
        <v>0.84375</v>
      </c>
      <c r="C86" s="4">
        <v>0.85416666666666696</v>
      </c>
      <c r="D86" s="56">
        <v>3861.4346010790141</v>
      </c>
      <c r="E86" s="53">
        <v>0</v>
      </c>
      <c r="F86" s="56">
        <v>3861.4346010790141</v>
      </c>
      <c r="G86" s="57"/>
    </row>
    <row r="87" spans="1:7" ht="18.75" x14ac:dyDescent="0.3">
      <c r="A87" s="20">
        <v>83</v>
      </c>
      <c r="B87" s="4">
        <v>0.85416666666666696</v>
      </c>
      <c r="C87" s="4">
        <v>0.86458333333333404</v>
      </c>
      <c r="D87" s="56">
        <v>3771.3273585177612</v>
      </c>
      <c r="E87" s="53">
        <v>0</v>
      </c>
      <c r="F87" s="56">
        <v>3771.3273585177612</v>
      </c>
      <c r="G87" s="57"/>
    </row>
    <row r="88" spans="1:7" ht="18.75" x14ac:dyDescent="0.3">
      <c r="A88" s="20">
        <v>84</v>
      </c>
      <c r="B88" s="4">
        <v>0.86458333333333304</v>
      </c>
      <c r="C88" s="4">
        <v>0.875</v>
      </c>
      <c r="D88" s="56">
        <v>3759.3932322050441</v>
      </c>
      <c r="E88" s="53">
        <v>0</v>
      </c>
      <c r="F88" s="56">
        <v>3759.3932322050441</v>
      </c>
      <c r="G88" s="57"/>
    </row>
    <row r="89" spans="1:7" ht="18.75" x14ac:dyDescent="0.3">
      <c r="A89" s="20">
        <v>85</v>
      </c>
      <c r="B89" s="4">
        <v>0.875</v>
      </c>
      <c r="C89" s="4">
        <v>0.88541666666666696</v>
      </c>
      <c r="D89" s="56">
        <v>3705.0415708864953</v>
      </c>
      <c r="E89" s="53">
        <v>0</v>
      </c>
      <c r="F89" s="56">
        <v>3705.0415708864953</v>
      </c>
      <c r="G89" s="57"/>
    </row>
    <row r="90" spans="1:7" ht="18.75" x14ac:dyDescent="0.3">
      <c r="A90" s="20">
        <v>86</v>
      </c>
      <c r="B90" s="4">
        <v>0.88541666666666696</v>
      </c>
      <c r="C90" s="4">
        <v>0.89583333333333404</v>
      </c>
      <c r="D90" s="56">
        <v>3668.7915307756471</v>
      </c>
      <c r="E90" s="53">
        <v>0</v>
      </c>
      <c r="F90" s="56">
        <v>3668.7915307756471</v>
      </c>
      <c r="G90" s="57"/>
    </row>
    <row r="91" spans="1:7" ht="18.75" x14ac:dyDescent="0.3">
      <c r="A91" s="20">
        <v>87</v>
      </c>
      <c r="B91" s="4">
        <v>0.89583333333333304</v>
      </c>
      <c r="C91" s="4">
        <v>0.90625</v>
      </c>
      <c r="D91" s="56">
        <v>3656.5291715282733</v>
      </c>
      <c r="E91" s="53">
        <v>0</v>
      </c>
      <c r="F91" s="56">
        <v>3656.5291715282733</v>
      </c>
      <c r="G91" s="57"/>
    </row>
    <row r="92" spans="1:7" s="6" customFormat="1" ht="18.75" x14ac:dyDescent="0.3">
      <c r="A92" s="20">
        <v>88</v>
      </c>
      <c r="B92" s="4">
        <v>0.90625</v>
      </c>
      <c r="C92" s="4">
        <v>0.91666666666666696</v>
      </c>
      <c r="D92" s="56">
        <v>3623.7954492412282</v>
      </c>
      <c r="E92" s="53">
        <v>0</v>
      </c>
      <c r="F92" s="56">
        <v>3623.7954492412282</v>
      </c>
      <c r="G92" s="57"/>
    </row>
    <row r="93" spans="1:7" ht="18.75" x14ac:dyDescent="0.3">
      <c r="A93" s="20">
        <v>89</v>
      </c>
      <c r="B93" s="4">
        <v>0.91666666666666696</v>
      </c>
      <c r="C93" s="4">
        <v>0.92708333333333404</v>
      </c>
      <c r="D93" s="56">
        <v>3747.5698366391171</v>
      </c>
      <c r="E93" s="53">
        <v>0</v>
      </c>
      <c r="F93" s="56">
        <v>3747.5698366391171</v>
      </c>
      <c r="G93" s="57"/>
    </row>
    <row r="94" spans="1:7" ht="18.75" x14ac:dyDescent="0.3">
      <c r="A94" s="20">
        <v>90</v>
      </c>
      <c r="B94" s="4">
        <v>0.92708333333333304</v>
      </c>
      <c r="C94" s="4">
        <v>0.9375</v>
      </c>
      <c r="D94" s="56">
        <v>3778.2577012832221</v>
      </c>
      <c r="E94" s="53">
        <v>0</v>
      </c>
      <c r="F94" s="56">
        <v>3778.2577012832221</v>
      </c>
      <c r="G94" s="57"/>
    </row>
    <row r="95" spans="1:7" ht="18.75" x14ac:dyDescent="0.3">
      <c r="A95" s="20">
        <v>91</v>
      </c>
      <c r="B95" s="4">
        <v>0.9375</v>
      </c>
      <c r="C95" s="4">
        <v>0.94791666666666696</v>
      </c>
      <c r="D95" s="56">
        <v>3779.2806301046921</v>
      </c>
      <c r="E95" s="53">
        <v>0</v>
      </c>
      <c r="F95" s="56">
        <v>3779.2806301046921</v>
      </c>
      <c r="G95" s="57"/>
    </row>
    <row r="96" spans="1:7" ht="18.75" x14ac:dyDescent="0.3">
      <c r="A96" s="20">
        <v>92</v>
      </c>
      <c r="B96" s="4">
        <v>0.94791666666666696</v>
      </c>
      <c r="C96" s="4">
        <v>0.95833333333333404</v>
      </c>
      <c r="D96" s="56">
        <v>3801.785064177036</v>
      </c>
      <c r="E96" s="53">
        <v>0</v>
      </c>
      <c r="F96" s="56">
        <v>3801.785064177036</v>
      </c>
      <c r="G96" s="57"/>
    </row>
    <row r="97" spans="1:7" ht="18.75" x14ac:dyDescent="0.3">
      <c r="A97" s="20">
        <v>93</v>
      </c>
      <c r="B97" s="4">
        <v>0.95833333333333304</v>
      </c>
      <c r="C97" s="4">
        <v>0.96875</v>
      </c>
      <c r="D97" s="56">
        <v>3889.7569428234688</v>
      </c>
      <c r="E97" s="53">
        <v>0</v>
      </c>
      <c r="F97" s="56">
        <v>3889.7569428234688</v>
      </c>
      <c r="G97" s="57"/>
    </row>
    <row r="98" spans="1:7" ht="18.75" x14ac:dyDescent="0.3">
      <c r="A98" s="20">
        <v>94</v>
      </c>
      <c r="B98" s="4">
        <v>0.96875</v>
      </c>
      <c r="C98" s="4">
        <v>0.97916666666666696</v>
      </c>
      <c r="D98" s="56">
        <v>3950</v>
      </c>
      <c r="E98" s="53">
        <v>0</v>
      </c>
      <c r="F98" s="56">
        <v>3950</v>
      </c>
      <c r="G98" s="57"/>
    </row>
    <row r="99" spans="1:7" ht="18.75" x14ac:dyDescent="0.3">
      <c r="A99" s="20">
        <v>95</v>
      </c>
      <c r="B99" s="4">
        <v>0.97916666666666696</v>
      </c>
      <c r="C99" s="4">
        <v>0.98958333333333404</v>
      </c>
      <c r="D99" s="56">
        <v>3930</v>
      </c>
      <c r="E99" s="53">
        <v>0</v>
      </c>
      <c r="F99" s="56">
        <v>3930</v>
      </c>
      <c r="G99" s="57"/>
    </row>
    <row r="100" spans="1:7" ht="18.75" x14ac:dyDescent="0.3">
      <c r="A100" s="20">
        <v>96</v>
      </c>
      <c r="B100" s="4">
        <v>0.98958333333333304</v>
      </c>
      <c r="C100" s="5">
        <v>24</v>
      </c>
      <c r="D100" s="56">
        <v>3910</v>
      </c>
      <c r="E100" s="53">
        <v>0</v>
      </c>
      <c r="F100" s="56">
        <v>3910</v>
      </c>
      <c r="G100" s="57"/>
    </row>
    <row r="101" spans="1:7" ht="21" x14ac:dyDescent="0.35">
      <c r="A101" s="60" t="s">
        <v>7</v>
      </c>
      <c r="B101" s="61"/>
      <c r="C101" s="62"/>
      <c r="D101" s="49">
        <f>AVERAGE(D5:D100)*0.24</f>
        <v>890.12436776531945</v>
      </c>
      <c r="E101" s="49">
        <f>AVERAGE(E5:E100)*0.24</f>
        <v>0</v>
      </c>
      <c r="F101" s="49">
        <f>AVERAGE(F5:F100)*0.24</f>
        <v>890.12436776531945</v>
      </c>
      <c r="G101" s="57"/>
    </row>
    <row r="102" spans="1:7" x14ac:dyDescent="0.25">
      <c r="F102" s="3"/>
    </row>
    <row r="103" spans="1:7" x14ac:dyDescent="0.25">
      <c r="F103" s="3"/>
    </row>
    <row r="104" spans="1:7" x14ac:dyDescent="0.25">
      <c r="F104" s="3"/>
    </row>
    <row r="105" spans="1:7" x14ac:dyDescent="0.25">
      <c r="F105" s="54"/>
    </row>
    <row r="106" spans="1:7" x14ac:dyDescent="0.25">
      <c r="F106" s="54"/>
    </row>
    <row r="107" spans="1:7" x14ac:dyDescent="0.25">
      <c r="F107" s="54"/>
    </row>
    <row r="108" spans="1:7" x14ac:dyDescent="0.25">
      <c r="F108" s="54"/>
    </row>
    <row r="109" spans="1:7" x14ac:dyDescent="0.25">
      <c r="F109" s="54"/>
    </row>
    <row r="110" spans="1:7" x14ac:dyDescent="0.25">
      <c r="F110" s="54"/>
    </row>
  </sheetData>
  <protectedRanges>
    <protectedRange sqref="E2:F2" name="Range1_1"/>
  </protectedRanges>
  <mergeCells count="8">
    <mergeCell ref="E3:E4"/>
    <mergeCell ref="F3:F4"/>
    <mergeCell ref="A101:C101"/>
    <mergeCell ref="A1:F1"/>
    <mergeCell ref="A3:A4"/>
    <mergeCell ref="B3:C3"/>
    <mergeCell ref="D3:D4"/>
    <mergeCell ref="A2:D2"/>
  </mergeCells>
  <dataValidations count="1">
    <dataValidation type="whole" allowBlank="1" showInputMessage="1" showErrorMessage="1" sqref="D3:E3 E5:E100 F3:F4">
      <formula1>#REF!</formula1>
      <formula2>#REF!</formula2>
    </dataValidation>
  </dataValidations>
  <pageMargins left="0.70866141732283472" right="0.70866141732283472" top="0.43307086614173229" bottom="0.3937007874015748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8"/>
  <sheetViews>
    <sheetView workbookViewId="0">
      <selection activeCell="K33" sqref="K33"/>
    </sheetView>
  </sheetViews>
  <sheetFormatPr defaultRowHeight="15" x14ac:dyDescent="0.25"/>
  <sheetData>
    <row r="2" spans="2:9" ht="15.75" x14ac:dyDescent="0.25">
      <c r="B2" s="3">
        <v>2530</v>
      </c>
      <c r="C2">
        <v>2161.92</v>
      </c>
      <c r="D2">
        <v>2445</v>
      </c>
      <c r="E2" s="3">
        <f t="shared" ref="E2:E37" si="0">AVERAGE(C2:D2)</f>
        <v>2303.46</v>
      </c>
      <c r="F2" s="3">
        <f t="shared" ref="F2:F33" si="1">E2-36</f>
        <v>2267.46</v>
      </c>
      <c r="G2" s="26">
        <v>2413.1</v>
      </c>
      <c r="H2" s="26">
        <v>2413.1</v>
      </c>
      <c r="I2" s="3">
        <f t="shared" ref="I2:I33" si="2">H2-20</f>
        <v>2393.1</v>
      </c>
    </row>
    <row r="3" spans="2:9" ht="15.75" x14ac:dyDescent="0.25">
      <c r="B3" s="3">
        <v>2470</v>
      </c>
      <c r="C3">
        <v>2018.93</v>
      </c>
      <c r="D3">
        <v>2414</v>
      </c>
      <c r="E3" s="3">
        <f t="shared" si="0"/>
        <v>2216.4650000000001</v>
      </c>
      <c r="F3" s="3">
        <f t="shared" si="1"/>
        <v>2180.4650000000001</v>
      </c>
      <c r="G3" s="26">
        <v>2389.4425000000001</v>
      </c>
      <c r="H3" s="26">
        <v>2389.4425000000001</v>
      </c>
      <c r="I3" s="3">
        <f t="shared" si="2"/>
        <v>2369.4425000000001</v>
      </c>
    </row>
    <row r="4" spans="2:9" ht="15.75" x14ac:dyDescent="0.25">
      <c r="B4" s="3">
        <v>2465</v>
      </c>
      <c r="C4">
        <v>1945.54</v>
      </c>
      <c r="D4">
        <v>2414</v>
      </c>
      <c r="E4" s="3">
        <f t="shared" si="0"/>
        <v>2179.77</v>
      </c>
      <c r="F4" s="3">
        <f t="shared" si="1"/>
        <v>2143.77</v>
      </c>
      <c r="G4" s="26">
        <v>2394.5574999999999</v>
      </c>
      <c r="H4" s="26">
        <v>2394.5574999999999</v>
      </c>
      <c r="I4" s="3">
        <f t="shared" si="2"/>
        <v>2374.5574999999999</v>
      </c>
    </row>
    <row r="5" spans="2:9" ht="15.75" x14ac:dyDescent="0.25">
      <c r="B5" s="3">
        <v>2455</v>
      </c>
      <c r="C5">
        <v>1955.07</v>
      </c>
      <c r="D5">
        <v>2399</v>
      </c>
      <c r="E5" s="3">
        <f t="shared" si="0"/>
        <v>2177.0349999999999</v>
      </c>
      <c r="F5" s="3">
        <f t="shared" si="1"/>
        <v>2141.0349999999999</v>
      </c>
      <c r="G5" s="26">
        <v>2397.2575000000002</v>
      </c>
      <c r="H5" s="26">
        <v>2397.2575000000002</v>
      </c>
      <c r="I5" s="3">
        <f t="shared" si="2"/>
        <v>2377.2575000000002</v>
      </c>
    </row>
    <row r="6" spans="2:9" ht="15.75" x14ac:dyDescent="0.25">
      <c r="B6" s="3">
        <v>2440</v>
      </c>
      <c r="C6">
        <v>1881.79</v>
      </c>
      <c r="D6">
        <v>2393</v>
      </c>
      <c r="E6" s="3">
        <f t="shared" si="0"/>
        <v>2137.395</v>
      </c>
      <c r="F6" s="3">
        <f t="shared" si="1"/>
        <v>2101.395</v>
      </c>
      <c r="G6" s="26">
        <v>2371.6600000000003</v>
      </c>
      <c r="H6" s="26">
        <v>2371.6600000000003</v>
      </c>
      <c r="I6" s="3">
        <f t="shared" si="2"/>
        <v>2351.6600000000003</v>
      </c>
    </row>
    <row r="7" spans="2:9" ht="15.75" x14ac:dyDescent="0.25">
      <c r="B7" s="3">
        <v>2430</v>
      </c>
      <c r="C7">
        <v>1849.55</v>
      </c>
      <c r="D7">
        <v>2360</v>
      </c>
      <c r="E7" s="3">
        <f t="shared" si="0"/>
        <v>2104.7750000000001</v>
      </c>
      <c r="F7" s="3">
        <f t="shared" si="1"/>
        <v>2068.7750000000001</v>
      </c>
      <c r="G7" s="26">
        <v>2321.7224999999999</v>
      </c>
      <c r="H7" s="26">
        <v>2321.7224999999999</v>
      </c>
      <c r="I7" s="3">
        <f t="shared" si="2"/>
        <v>2301.7224999999999</v>
      </c>
    </row>
    <row r="8" spans="2:9" ht="15.75" x14ac:dyDescent="0.25">
      <c r="B8" s="3">
        <v>2420</v>
      </c>
      <c r="C8">
        <v>1842.35</v>
      </c>
      <c r="D8">
        <v>2360</v>
      </c>
      <c r="E8" s="3">
        <f t="shared" si="0"/>
        <v>2101.1750000000002</v>
      </c>
      <c r="F8" s="3">
        <f t="shared" si="1"/>
        <v>2065.1750000000002</v>
      </c>
      <c r="G8" s="26">
        <v>2317.5724999999998</v>
      </c>
      <c r="H8" s="26">
        <v>2317.5724999999998</v>
      </c>
      <c r="I8" s="3">
        <f t="shared" si="2"/>
        <v>2297.5724999999998</v>
      </c>
    </row>
    <row r="9" spans="2:9" ht="15.75" x14ac:dyDescent="0.25">
      <c r="B9" s="3">
        <v>2405</v>
      </c>
      <c r="C9">
        <v>1854.71</v>
      </c>
      <c r="D9">
        <v>2318</v>
      </c>
      <c r="E9" s="3">
        <f t="shared" si="0"/>
        <v>2086.355</v>
      </c>
      <c r="F9" s="3">
        <f t="shared" si="1"/>
        <v>2050.355</v>
      </c>
      <c r="G9" s="26">
        <v>2337.2975000000001</v>
      </c>
      <c r="H9" s="26">
        <v>2337.2975000000001</v>
      </c>
      <c r="I9" s="3">
        <f t="shared" si="2"/>
        <v>2317.2975000000001</v>
      </c>
    </row>
    <row r="10" spans="2:9" ht="15.75" x14ac:dyDescent="0.25">
      <c r="B10" s="3">
        <v>2400</v>
      </c>
      <c r="C10">
        <v>1854.71</v>
      </c>
      <c r="D10">
        <v>2316</v>
      </c>
      <c r="E10" s="3">
        <f t="shared" si="0"/>
        <v>2085.355</v>
      </c>
      <c r="F10" s="3">
        <f t="shared" si="1"/>
        <v>2049.355</v>
      </c>
      <c r="G10" s="26">
        <v>2335.4024999999997</v>
      </c>
      <c r="H10" s="26">
        <v>2335.4024999999997</v>
      </c>
      <c r="I10" s="3">
        <f t="shared" si="2"/>
        <v>2315.4024999999997</v>
      </c>
    </row>
    <row r="11" spans="2:9" ht="15.75" x14ac:dyDescent="0.25">
      <c r="B11" s="3">
        <v>2395</v>
      </c>
      <c r="C11">
        <v>1876.89</v>
      </c>
      <c r="D11">
        <v>2290</v>
      </c>
      <c r="E11" s="3">
        <f t="shared" si="0"/>
        <v>2083.4450000000002</v>
      </c>
      <c r="F11" s="3">
        <f t="shared" si="1"/>
        <v>2047.4450000000002</v>
      </c>
      <c r="G11" s="26">
        <v>2313.6149999999998</v>
      </c>
      <c r="H11" s="26">
        <v>2313.6149999999998</v>
      </c>
      <c r="I11" s="3">
        <f t="shared" si="2"/>
        <v>2293.6149999999998</v>
      </c>
    </row>
    <row r="12" spans="2:9" ht="15.75" x14ac:dyDescent="0.25">
      <c r="B12" s="3">
        <v>2390</v>
      </c>
      <c r="C12">
        <v>1884.85</v>
      </c>
      <c r="D12">
        <v>2290</v>
      </c>
      <c r="E12" s="3">
        <f t="shared" si="0"/>
        <v>2087.4250000000002</v>
      </c>
      <c r="F12" s="3">
        <f t="shared" si="1"/>
        <v>2051.4250000000002</v>
      </c>
      <c r="G12" s="26">
        <v>2290.1750000000002</v>
      </c>
      <c r="H12" s="26">
        <v>2290.1750000000002</v>
      </c>
      <c r="I12" s="3">
        <f t="shared" si="2"/>
        <v>2270.1750000000002</v>
      </c>
    </row>
    <row r="13" spans="2:9" ht="15.75" x14ac:dyDescent="0.25">
      <c r="B13" s="3">
        <v>2380</v>
      </c>
      <c r="C13">
        <v>1864.72</v>
      </c>
      <c r="D13">
        <v>2308</v>
      </c>
      <c r="E13" s="3">
        <f t="shared" si="0"/>
        <v>2086.36</v>
      </c>
      <c r="F13" s="3">
        <f t="shared" si="1"/>
        <v>2050.36</v>
      </c>
      <c r="G13" s="26">
        <v>2270.37</v>
      </c>
      <c r="H13" s="26">
        <v>2270.37</v>
      </c>
      <c r="I13" s="3">
        <f t="shared" si="2"/>
        <v>2250.37</v>
      </c>
    </row>
    <row r="14" spans="2:9" ht="15.75" x14ac:dyDescent="0.25">
      <c r="B14" s="3">
        <v>2376</v>
      </c>
      <c r="C14">
        <v>1874.56</v>
      </c>
      <c r="D14">
        <v>2290</v>
      </c>
      <c r="E14" s="3">
        <f t="shared" si="0"/>
        <v>2082.2799999999997</v>
      </c>
      <c r="F14" s="3">
        <f t="shared" si="1"/>
        <v>2046.2799999999997</v>
      </c>
      <c r="G14" s="26">
        <v>2275.1999999999998</v>
      </c>
      <c r="H14" s="26">
        <v>2275.1999999999998</v>
      </c>
      <c r="I14" s="3">
        <f t="shared" si="2"/>
        <v>2255.1999999999998</v>
      </c>
    </row>
    <row r="15" spans="2:9" ht="15.75" x14ac:dyDescent="0.25">
      <c r="B15" s="3">
        <v>2370</v>
      </c>
      <c r="C15">
        <v>1908.43</v>
      </c>
      <c r="D15">
        <v>2333</v>
      </c>
      <c r="E15" s="3">
        <f t="shared" si="0"/>
        <v>2120.7150000000001</v>
      </c>
      <c r="F15" s="3">
        <f t="shared" si="1"/>
        <v>2084.7150000000001</v>
      </c>
      <c r="G15" s="26">
        <v>2256.7849999999999</v>
      </c>
      <c r="H15" s="26">
        <v>2256.7849999999999</v>
      </c>
      <c r="I15" s="3">
        <f t="shared" si="2"/>
        <v>2236.7849999999999</v>
      </c>
    </row>
    <row r="16" spans="2:9" ht="15.75" x14ac:dyDescent="0.25">
      <c r="B16" s="3">
        <v>2365</v>
      </c>
      <c r="C16">
        <v>1930.73</v>
      </c>
      <c r="D16">
        <v>2333</v>
      </c>
      <c r="E16" s="3">
        <f t="shared" si="0"/>
        <v>2131.8649999999998</v>
      </c>
      <c r="F16" s="3">
        <f t="shared" si="1"/>
        <v>2095.8649999999998</v>
      </c>
      <c r="G16" s="26">
        <v>2257.4625000000001</v>
      </c>
      <c r="H16" s="26">
        <v>2257.4625000000001</v>
      </c>
      <c r="I16" s="3">
        <f t="shared" si="2"/>
        <v>2237.4625000000001</v>
      </c>
    </row>
    <row r="17" spans="2:9" ht="15.75" x14ac:dyDescent="0.25">
      <c r="B17" s="3">
        <v>2360</v>
      </c>
      <c r="C17">
        <v>1923.76</v>
      </c>
      <c r="D17">
        <v>2344</v>
      </c>
      <c r="E17" s="3">
        <f t="shared" si="0"/>
        <v>2133.88</v>
      </c>
      <c r="F17" s="3">
        <f t="shared" si="1"/>
        <v>2097.88</v>
      </c>
      <c r="G17" s="26">
        <v>2241.3675000000003</v>
      </c>
      <c r="H17" s="26">
        <v>2241.3675000000003</v>
      </c>
      <c r="I17" s="3">
        <f t="shared" si="2"/>
        <v>2221.3675000000003</v>
      </c>
    </row>
    <row r="18" spans="2:9" ht="15.75" x14ac:dyDescent="0.25">
      <c r="B18" s="3">
        <v>2366</v>
      </c>
      <c r="C18">
        <v>2030.51</v>
      </c>
      <c r="D18">
        <v>2318</v>
      </c>
      <c r="E18" s="3">
        <f t="shared" si="0"/>
        <v>2174.2550000000001</v>
      </c>
      <c r="F18" s="3">
        <f t="shared" si="1"/>
        <v>2138.2550000000001</v>
      </c>
      <c r="G18" s="26">
        <v>2212.5625</v>
      </c>
      <c r="H18" s="26">
        <v>2212.5625</v>
      </c>
      <c r="I18" s="3">
        <f t="shared" si="2"/>
        <v>2192.5625</v>
      </c>
    </row>
    <row r="19" spans="2:9" ht="15.75" x14ac:dyDescent="0.25">
      <c r="B19" s="3">
        <v>2370</v>
      </c>
      <c r="C19">
        <v>1915.13</v>
      </c>
      <c r="D19">
        <v>2295</v>
      </c>
      <c r="E19" s="3">
        <f t="shared" si="0"/>
        <v>2105.0650000000001</v>
      </c>
      <c r="F19" s="3">
        <f t="shared" si="1"/>
        <v>2069.0650000000001</v>
      </c>
      <c r="G19" s="26">
        <v>2201.9674999999997</v>
      </c>
      <c r="H19" s="26">
        <v>2201.9674999999997</v>
      </c>
      <c r="I19" s="3">
        <f t="shared" si="2"/>
        <v>2181.9674999999997</v>
      </c>
    </row>
    <row r="20" spans="2:9" ht="15.75" x14ac:dyDescent="0.25">
      <c r="B20" s="3">
        <v>2368</v>
      </c>
      <c r="C20">
        <v>1908.31</v>
      </c>
      <c r="D20">
        <v>2295</v>
      </c>
      <c r="E20" s="3">
        <f t="shared" si="0"/>
        <v>2101.6549999999997</v>
      </c>
      <c r="F20" s="3">
        <f t="shared" si="1"/>
        <v>2065.6549999999997</v>
      </c>
      <c r="G20" s="26">
        <v>2190.2199999999998</v>
      </c>
      <c r="H20" s="26">
        <v>2190.2199999999998</v>
      </c>
      <c r="I20" s="3">
        <f t="shared" si="2"/>
        <v>2170.2199999999998</v>
      </c>
    </row>
    <row r="21" spans="2:9" ht="15.75" x14ac:dyDescent="0.25">
      <c r="B21" s="3">
        <v>2362</v>
      </c>
      <c r="C21">
        <v>1935.85</v>
      </c>
      <c r="D21">
        <v>2274</v>
      </c>
      <c r="E21" s="3">
        <f t="shared" si="0"/>
        <v>2104.9250000000002</v>
      </c>
      <c r="F21" s="3">
        <f t="shared" si="1"/>
        <v>2068.9250000000002</v>
      </c>
      <c r="G21" s="26">
        <v>2178.9674999999997</v>
      </c>
      <c r="H21" s="26">
        <v>2178.9674999999997</v>
      </c>
      <c r="I21" s="3">
        <f t="shared" si="2"/>
        <v>2158.9674999999997</v>
      </c>
    </row>
    <row r="22" spans="2:9" ht="15.75" x14ac:dyDescent="0.25">
      <c r="B22" s="3">
        <v>2370</v>
      </c>
      <c r="C22">
        <v>1907.45</v>
      </c>
      <c r="D22">
        <v>2292</v>
      </c>
      <c r="E22" s="3">
        <f t="shared" si="0"/>
        <v>2099.7249999999999</v>
      </c>
      <c r="F22" s="3">
        <f t="shared" si="1"/>
        <v>2063.7249999999999</v>
      </c>
      <c r="G22" s="26">
        <v>2189.4250000000002</v>
      </c>
      <c r="H22" s="26">
        <v>2189.4250000000002</v>
      </c>
      <c r="I22" s="3">
        <f t="shared" si="2"/>
        <v>2169.4250000000002</v>
      </c>
    </row>
    <row r="23" spans="2:9" ht="15.75" x14ac:dyDescent="0.25">
      <c r="B23" s="3">
        <v>2380</v>
      </c>
      <c r="C23">
        <v>1918.46</v>
      </c>
      <c r="D23">
        <v>2306</v>
      </c>
      <c r="E23" s="3">
        <f t="shared" si="0"/>
        <v>2112.23</v>
      </c>
      <c r="F23" s="3">
        <f t="shared" si="1"/>
        <v>2076.23</v>
      </c>
      <c r="G23" s="26">
        <v>2197.9675000000002</v>
      </c>
      <c r="H23" s="26">
        <v>2197.9675000000002</v>
      </c>
      <c r="I23" s="3">
        <f t="shared" si="2"/>
        <v>2177.9675000000002</v>
      </c>
    </row>
    <row r="24" spans="2:9" ht="15.75" x14ac:dyDescent="0.25">
      <c r="B24" s="3">
        <v>2395</v>
      </c>
      <c r="C24">
        <v>1943.05</v>
      </c>
      <c r="D24">
        <v>2307</v>
      </c>
      <c r="E24" s="3">
        <f t="shared" si="0"/>
        <v>2125.0250000000001</v>
      </c>
      <c r="F24" s="3">
        <f t="shared" si="1"/>
        <v>2089.0250000000001</v>
      </c>
      <c r="G24" s="26">
        <v>2217.7449999999999</v>
      </c>
      <c r="H24" s="26">
        <v>2217.7449999999999</v>
      </c>
      <c r="I24" s="3">
        <f t="shared" si="2"/>
        <v>2197.7449999999999</v>
      </c>
    </row>
    <row r="25" spans="2:9" ht="15.75" x14ac:dyDescent="0.25">
      <c r="B25" s="3">
        <v>2400</v>
      </c>
      <c r="C25">
        <v>1931.96</v>
      </c>
      <c r="D25">
        <v>2287</v>
      </c>
      <c r="E25" s="3">
        <f t="shared" si="0"/>
        <v>2109.48</v>
      </c>
      <c r="F25" s="3">
        <f t="shared" si="1"/>
        <v>2073.48</v>
      </c>
      <c r="G25" s="26">
        <v>2240.665</v>
      </c>
      <c r="H25" s="26">
        <v>2240.665</v>
      </c>
      <c r="I25" s="3">
        <f t="shared" si="2"/>
        <v>2220.665</v>
      </c>
    </row>
    <row r="26" spans="2:9" ht="15.75" x14ac:dyDescent="0.25">
      <c r="B26" s="3">
        <v>2388</v>
      </c>
      <c r="C26">
        <v>1984.14</v>
      </c>
      <c r="D26">
        <v>2287</v>
      </c>
      <c r="E26" s="3">
        <f t="shared" si="0"/>
        <v>2135.5700000000002</v>
      </c>
      <c r="F26" s="3">
        <f t="shared" si="1"/>
        <v>2099.5700000000002</v>
      </c>
      <c r="G26" s="26">
        <v>2269.855</v>
      </c>
      <c r="H26" s="26">
        <v>2269.855</v>
      </c>
      <c r="I26" s="3">
        <f t="shared" si="2"/>
        <v>2249.855</v>
      </c>
    </row>
    <row r="27" spans="2:9" ht="15.75" x14ac:dyDescent="0.25">
      <c r="B27" s="3">
        <v>2398</v>
      </c>
      <c r="C27">
        <v>1956.58</v>
      </c>
      <c r="D27">
        <v>2260</v>
      </c>
      <c r="E27" s="3">
        <f t="shared" si="0"/>
        <v>2108.29</v>
      </c>
      <c r="F27" s="3">
        <f t="shared" si="1"/>
        <v>2072.29</v>
      </c>
      <c r="G27" s="26">
        <v>2300.79</v>
      </c>
      <c r="H27" s="26">
        <v>2300.79</v>
      </c>
      <c r="I27" s="3">
        <f t="shared" si="2"/>
        <v>2280.79</v>
      </c>
    </row>
    <row r="28" spans="2:9" ht="15.75" x14ac:dyDescent="0.25">
      <c r="B28" s="3">
        <v>2400</v>
      </c>
      <c r="C28">
        <v>1956.58</v>
      </c>
      <c r="D28">
        <v>2225</v>
      </c>
      <c r="E28" s="3">
        <f t="shared" si="0"/>
        <v>2090.79</v>
      </c>
      <c r="F28" s="3">
        <f t="shared" si="1"/>
        <v>2054.79</v>
      </c>
      <c r="G28" s="26">
        <v>2323.38</v>
      </c>
      <c r="H28" s="26">
        <v>2323.38</v>
      </c>
      <c r="I28" s="3">
        <f t="shared" si="2"/>
        <v>2303.38</v>
      </c>
    </row>
    <row r="29" spans="2:9" ht="15.75" x14ac:dyDescent="0.25">
      <c r="B29" s="3">
        <v>2395</v>
      </c>
      <c r="C29">
        <v>1816.62</v>
      </c>
      <c r="D29">
        <v>2202</v>
      </c>
      <c r="E29" s="3">
        <f t="shared" si="0"/>
        <v>2009.31</v>
      </c>
      <c r="F29" s="3">
        <f t="shared" si="1"/>
        <v>1973.31</v>
      </c>
      <c r="G29" s="26">
        <v>2321.4750000000004</v>
      </c>
      <c r="H29" s="26">
        <v>2321.4750000000004</v>
      </c>
      <c r="I29" s="3">
        <f t="shared" si="2"/>
        <v>2301.4750000000004</v>
      </c>
    </row>
    <row r="30" spans="2:9" ht="15.75" x14ac:dyDescent="0.25">
      <c r="B30" s="3">
        <v>2400</v>
      </c>
      <c r="C30">
        <v>1824.89</v>
      </c>
      <c r="D30">
        <v>2229</v>
      </c>
      <c r="E30" s="3">
        <f t="shared" si="0"/>
        <v>2026.9450000000002</v>
      </c>
      <c r="F30" s="3">
        <f t="shared" si="1"/>
        <v>1990.9450000000002</v>
      </c>
      <c r="G30" s="26">
        <v>2338.9850000000001</v>
      </c>
      <c r="H30" s="26">
        <v>2338.9850000000001</v>
      </c>
      <c r="I30" s="3">
        <f t="shared" si="2"/>
        <v>2318.9850000000001</v>
      </c>
    </row>
    <row r="31" spans="2:9" ht="15.75" x14ac:dyDescent="0.25">
      <c r="B31" s="3">
        <v>2412</v>
      </c>
      <c r="C31">
        <v>1748.35</v>
      </c>
      <c r="D31">
        <v>2235</v>
      </c>
      <c r="E31" s="3">
        <f t="shared" si="0"/>
        <v>1991.675</v>
      </c>
      <c r="F31" s="3">
        <f t="shared" si="1"/>
        <v>1955.675</v>
      </c>
      <c r="G31" s="26">
        <v>2347.4724999999999</v>
      </c>
      <c r="H31" s="26">
        <v>2347.4724999999999</v>
      </c>
      <c r="I31" s="3">
        <f t="shared" si="2"/>
        <v>2327.4724999999999</v>
      </c>
    </row>
    <row r="32" spans="2:9" ht="15.75" x14ac:dyDescent="0.25">
      <c r="B32" s="3">
        <v>2420</v>
      </c>
      <c r="C32">
        <v>1631.48</v>
      </c>
      <c r="D32">
        <v>2227</v>
      </c>
      <c r="E32" s="3">
        <f t="shared" si="0"/>
        <v>1929.24</v>
      </c>
      <c r="F32" s="3">
        <f t="shared" si="1"/>
        <v>1893.24</v>
      </c>
      <c r="G32" s="26">
        <v>2365.6324999999997</v>
      </c>
      <c r="H32" s="26">
        <v>2365.6324999999997</v>
      </c>
      <c r="I32" s="3">
        <f t="shared" si="2"/>
        <v>2345.6324999999997</v>
      </c>
    </row>
    <row r="33" spans="2:9" ht="15.75" x14ac:dyDescent="0.25">
      <c r="B33" s="3">
        <v>2400</v>
      </c>
      <c r="C33">
        <v>1639.92</v>
      </c>
      <c r="D33">
        <v>2250</v>
      </c>
      <c r="E33" s="3">
        <f t="shared" si="0"/>
        <v>1944.96</v>
      </c>
      <c r="F33" s="3">
        <f t="shared" si="1"/>
        <v>1908.96</v>
      </c>
      <c r="G33" s="26">
        <v>2348.8724999999999</v>
      </c>
      <c r="H33" s="26">
        <v>2348.8724999999999</v>
      </c>
      <c r="I33" s="3">
        <f t="shared" si="2"/>
        <v>2328.8724999999999</v>
      </c>
    </row>
    <row r="34" spans="2:9" ht="15.75" x14ac:dyDescent="0.25">
      <c r="B34" s="3">
        <v>2415</v>
      </c>
      <c r="C34">
        <v>1666.92</v>
      </c>
      <c r="D34">
        <v>2250</v>
      </c>
      <c r="E34" s="3">
        <f t="shared" si="0"/>
        <v>1958.46</v>
      </c>
      <c r="F34" s="3">
        <f t="shared" ref="F34:F65" si="3">E34-36</f>
        <v>1922.46</v>
      </c>
      <c r="G34" s="26">
        <v>2328.355</v>
      </c>
      <c r="H34" s="26">
        <v>2328.355</v>
      </c>
      <c r="I34" s="3">
        <f t="shared" ref="I34:I65" si="4">H34-20</f>
        <v>2308.355</v>
      </c>
    </row>
    <row r="35" spans="2:9" ht="15.75" x14ac:dyDescent="0.25">
      <c r="B35" s="3">
        <v>2392.5</v>
      </c>
      <c r="C35">
        <v>1673.75</v>
      </c>
      <c r="D35">
        <v>2192</v>
      </c>
      <c r="E35" s="3">
        <f t="shared" si="0"/>
        <v>1932.875</v>
      </c>
      <c r="F35" s="3">
        <f t="shared" si="3"/>
        <v>1896.875</v>
      </c>
      <c r="G35" s="26">
        <v>2369.8700000000003</v>
      </c>
      <c r="H35" s="26">
        <v>2369.8700000000003</v>
      </c>
      <c r="I35" s="3">
        <f t="shared" si="4"/>
        <v>2349.8700000000003</v>
      </c>
    </row>
    <row r="36" spans="2:9" ht="15.75" x14ac:dyDescent="0.25">
      <c r="B36" s="3">
        <v>2388.6666666666665</v>
      </c>
      <c r="C36">
        <v>1673.75</v>
      </c>
      <c r="D36">
        <v>2157</v>
      </c>
      <c r="E36" s="3">
        <f t="shared" si="0"/>
        <v>1915.375</v>
      </c>
      <c r="F36" s="3">
        <f t="shared" si="3"/>
        <v>1879.375</v>
      </c>
      <c r="G36" s="26">
        <v>2369.83</v>
      </c>
      <c r="H36" s="26">
        <v>2369.83</v>
      </c>
      <c r="I36" s="3">
        <f t="shared" si="4"/>
        <v>2349.83</v>
      </c>
    </row>
    <row r="37" spans="2:9" ht="15.75" x14ac:dyDescent="0.25">
      <c r="B37" s="3">
        <v>2451.1666666666665</v>
      </c>
      <c r="C37">
        <v>1730.74</v>
      </c>
      <c r="D37">
        <v>2116</v>
      </c>
      <c r="E37" s="3">
        <f t="shared" si="0"/>
        <v>1923.37</v>
      </c>
      <c r="F37" s="3">
        <f t="shared" si="3"/>
        <v>1887.37</v>
      </c>
      <c r="G37" s="26">
        <v>2357.8833333333332</v>
      </c>
      <c r="H37" s="26">
        <v>2357.8833333333332</v>
      </c>
      <c r="I37" s="3">
        <f t="shared" si="4"/>
        <v>2337.8833333333332</v>
      </c>
    </row>
    <row r="38" spans="2:9" ht="15.75" x14ac:dyDescent="0.25">
      <c r="B38" s="3">
        <v>2457.1666666666665</v>
      </c>
      <c r="D38">
        <v>2060</v>
      </c>
      <c r="E38" s="3">
        <f t="shared" ref="E38:E69" si="5">AVERAGE(B38:D38)</f>
        <v>2258.583333333333</v>
      </c>
      <c r="F38" s="3">
        <f t="shared" si="3"/>
        <v>2222.583333333333</v>
      </c>
      <c r="G38" s="26">
        <v>2328.5033333333336</v>
      </c>
      <c r="H38" s="26">
        <v>2328.5033333333336</v>
      </c>
      <c r="I38" s="3">
        <f t="shared" si="4"/>
        <v>2308.5033333333336</v>
      </c>
    </row>
    <row r="39" spans="2:9" ht="15.75" x14ac:dyDescent="0.25">
      <c r="B39" s="3">
        <v>2425.1666666666665</v>
      </c>
      <c r="D39">
        <v>2061</v>
      </c>
      <c r="E39" s="3">
        <f t="shared" si="5"/>
        <v>2243.083333333333</v>
      </c>
      <c r="F39" s="3">
        <f t="shared" si="3"/>
        <v>2207.083333333333</v>
      </c>
      <c r="G39" s="26">
        <v>2294.9133333333334</v>
      </c>
      <c r="H39" s="26">
        <v>2294.9133333333334</v>
      </c>
      <c r="I39" s="3">
        <f t="shared" si="4"/>
        <v>2274.9133333333334</v>
      </c>
    </row>
    <row r="40" spans="2:9" ht="15.75" x14ac:dyDescent="0.25">
      <c r="B40" s="3">
        <v>2446.6666666666665</v>
      </c>
      <c r="D40">
        <v>2008</v>
      </c>
      <c r="E40" s="3">
        <f t="shared" si="5"/>
        <v>2227.333333333333</v>
      </c>
      <c r="F40" s="3">
        <f t="shared" si="3"/>
        <v>2191.333333333333</v>
      </c>
      <c r="G40" s="26">
        <v>2271.436666666667</v>
      </c>
      <c r="H40" s="26">
        <v>2271.436666666667</v>
      </c>
      <c r="I40" s="3">
        <f t="shared" si="4"/>
        <v>2251.436666666667</v>
      </c>
    </row>
    <row r="41" spans="2:9" ht="15.75" x14ac:dyDescent="0.25">
      <c r="B41" s="3">
        <v>2457.8333333333335</v>
      </c>
      <c r="D41">
        <v>1972</v>
      </c>
      <c r="E41" s="3">
        <f t="shared" si="5"/>
        <v>2214.916666666667</v>
      </c>
      <c r="F41" s="3">
        <f t="shared" si="3"/>
        <v>2178.916666666667</v>
      </c>
      <c r="G41" s="26">
        <v>2228.6233333333334</v>
      </c>
      <c r="H41" s="26">
        <v>2228.6233333333334</v>
      </c>
      <c r="I41" s="3">
        <f t="shared" si="4"/>
        <v>2208.6233333333334</v>
      </c>
    </row>
    <row r="42" spans="2:9" ht="15.75" x14ac:dyDescent="0.25">
      <c r="B42" s="3">
        <v>2450.1666666666665</v>
      </c>
      <c r="D42">
        <v>1972</v>
      </c>
      <c r="E42" s="3">
        <f t="shared" si="5"/>
        <v>2211.083333333333</v>
      </c>
      <c r="F42" s="3">
        <f t="shared" si="3"/>
        <v>2175.083333333333</v>
      </c>
      <c r="G42" s="26">
        <v>2180.9266666666667</v>
      </c>
      <c r="H42" s="26">
        <v>2180.9266666666667</v>
      </c>
      <c r="I42" s="3">
        <f t="shared" si="4"/>
        <v>2160.9266666666667</v>
      </c>
    </row>
    <row r="43" spans="2:9" ht="15.75" x14ac:dyDescent="0.25">
      <c r="B43" s="3">
        <v>2433</v>
      </c>
      <c r="D43">
        <v>1889</v>
      </c>
      <c r="E43" s="3">
        <f t="shared" si="5"/>
        <v>2161</v>
      </c>
      <c r="F43" s="3">
        <f t="shared" si="3"/>
        <v>2125</v>
      </c>
      <c r="G43" s="26">
        <v>2142.8933333333334</v>
      </c>
      <c r="H43" s="26">
        <v>2142.8933333333334</v>
      </c>
      <c r="I43" s="3">
        <f t="shared" si="4"/>
        <v>2122.8933333333334</v>
      </c>
    </row>
    <row r="44" spans="2:9" ht="15.75" x14ac:dyDescent="0.25">
      <c r="B44" s="3">
        <v>2449.5</v>
      </c>
      <c r="D44">
        <v>1891</v>
      </c>
      <c r="E44" s="3">
        <f t="shared" si="5"/>
        <v>2170.25</v>
      </c>
      <c r="F44" s="3">
        <f t="shared" si="3"/>
        <v>2134.25</v>
      </c>
      <c r="G44" s="26">
        <v>2121.9699999999998</v>
      </c>
      <c r="H44" s="26">
        <v>2121.9699999999998</v>
      </c>
      <c r="I44" s="3">
        <f t="shared" si="4"/>
        <v>2101.9699999999998</v>
      </c>
    </row>
    <row r="45" spans="2:9" ht="15.75" x14ac:dyDescent="0.25">
      <c r="B45" s="3">
        <v>2442.8333333333335</v>
      </c>
      <c r="D45">
        <v>1895</v>
      </c>
      <c r="E45" s="3">
        <f t="shared" si="5"/>
        <v>2168.916666666667</v>
      </c>
      <c r="F45" s="3">
        <f t="shared" si="3"/>
        <v>2132.916666666667</v>
      </c>
      <c r="G45" s="26">
        <v>2100.4899999999998</v>
      </c>
      <c r="H45" s="26">
        <v>2100.4899999999998</v>
      </c>
      <c r="I45" s="3">
        <f t="shared" si="4"/>
        <v>2080.4899999999998</v>
      </c>
    </row>
    <row r="46" spans="2:9" ht="15.75" x14ac:dyDescent="0.25">
      <c r="B46" s="3">
        <v>2440.1666666666665</v>
      </c>
      <c r="D46">
        <v>1905</v>
      </c>
      <c r="E46" s="3">
        <f t="shared" si="5"/>
        <v>2172.583333333333</v>
      </c>
      <c r="F46" s="3">
        <f t="shared" si="3"/>
        <v>2136.583333333333</v>
      </c>
      <c r="G46" s="26">
        <v>2071.0166666666664</v>
      </c>
      <c r="H46" s="26">
        <v>2071.0166666666664</v>
      </c>
      <c r="I46" s="3">
        <f t="shared" si="4"/>
        <v>2051.0166666666664</v>
      </c>
    </row>
    <row r="47" spans="2:9" ht="15.75" x14ac:dyDescent="0.25">
      <c r="B47" s="3">
        <v>2428.5</v>
      </c>
      <c r="D47">
        <v>2025</v>
      </c>
      <c r="E47" s="3">
        <f t="shared" si="5"/>
        <v>2226.75</v>
      </c>
      <c r="F47" s="3">
        <f t="shared" si="3"/>
        <v>2190.75</v>
      </c>
      <c r="G47" s="26">
        <v>2071.0133333333329</v>
      </c>
      <c r="H47" s="26">
        <v>2071.0133333333329</v>
      </c>
      <c r="I47" s="3">
        <f t="shared" si="4"/>
        <v>2051.0133333333329</v>
      </c>
    </row>
    <row r="48" spans="2:9" ht="15.75" x14ac:dyDescent="0.25">
      <c r="B48" s="3">
        <v>2415.1666666666665</v>
      </c>
      <c r="D48">
        <v>1919</v>
      </c>
      <c r="E48" s="3">
        <f t="shared" si="5"/>
        <v>2167.083333333333</v>
      </c>
      <c r="F48" s="3">
        <f t="shared" si="3"/>
        <v>2131.083333333333</v>
      </c>
      <c r="G48" s="26">
        <v>2059.1</v>
      </c>
      <c r="H48" s="26">
        <v>2059.1</v>
      </c>
      <c r="I48" s="3">
        <f t="shared" si="4"/>
        <v>2039.1</v>
      </c>
    </row>
    <row r="49" spans="2:9" ht="15.75" x14ac:dyDescent="0.25">
      <c r="B49" s="3">
        <v>2392.1666666666665</v>
      </c>
      <c r="D49">
        <v>1964</v>
      </c>
      <c r="E49" s="3">
        <f t="shared" si="5"/>
        <v>2178.083333333333</v>
      </c>
      <c r="F49" s="3">
        <f t="shared" si="3"/>
        <v>2142.083333333333</v>
      </c>
      <c r="G49" s="26">
        <v>2048.1233333333334</v>
      </c>
      <c r="H49" s="26">
        <v>2048.1233333333334</v>
      </c>
      <c r="I49" s="3">
        <f t="shared" si="4"/>
        <v>2028.1233333333334</v>
      </c>
    </row>
    <row r="50" spans="2:9" ht="15.75" x14ac:dyDescent="0.25">
      <c r="B50" s="3">
        <v>2387.6666666666665</v>
      </c>
      <c r="D50">
        <v>1990</v>
      </c>
      <c r="E50" s="3">
        <f t="shared" si="5"/>
        <v>2188.833333333333</v>
      </c>
      <c r="F50" s="3">
        <f t="shared" si="3"/>
        <v>2152.833333333333</v>
      </c>
      <c r="G50" s="26">
        <v>2042.8333333333335</v>
      </c>
      <c r="H50" s="26">
        <v>2042.8333333333335</v>
      </c>
      <c r="I50" s="3">
        <f t="shared" si="4"/>
        <v>2022.8333333333335</v>
      </c>
    </row>
    <row r="51" spans="2:9" ht="15.75" x14ac:dyDescent="0.25">
      <c r="B51" s="3">
        <v>2391</v>
      </c>
      <c r="D51">
        <v>2039</v>
      </c>
      <c r="E51" s="3">
        <f t="shared" si="5"/>
        <v>2215</v>
      </c>
      <c r="F51" s="3">
        <f t="shared" si="3"/>
        <v>2179</v>
      </c>
      <c r="G51" s="26">
        <v>2039.8733333333334</v>
      </c>
      <c r="H51" s="26">
        <v>2039.8733333333334</v>
      </c>
      <c r="I51" s="3">
        <f t="shared" si="4"/>
        <v>2019.8733333333334</v>
      </c>
    </row>
    <row r="52" spans="2:9" ht="15.75" x14ac:dyDescent="0.25">
      <c r="B52" s="3">
        <v>2395</v>
      </c>
      <c r="D52">
        <v>2039</v>
      </c>
      <c r="E52" s="3">
        <f t="shared" si="5"/>
        <v>2217</v>
      </c>
      <c r="F52" s="3">
        <f t="shared" si="3"/>
        <v>2181</v>
      </c>
      <c r="G52" s="26">
        <v>1999.15</v>
      </c>
      <c r="H52" s="26">
        <v>1999.15</v>
      </c>
      <c r="I52" s="3">
        <f t="shared" si="4"/>
        <v>1979.15</v>
      </c>
    </row>
    <row r="53" spans="2:9" ht="15.75" x14ac:dyDescent="0.25">
      <c r="B53" s="3">
        <v>2405</v>
      </c>
      <c r="D53">
        <v>2070</v>
      </c>
      <c r="E53" s="3">
        <f t="shared" si="5"/>
        <v>2237.5</v>
      </c>
      <c r="F53" s="3">
        <f t="shared" si="3"/>
        <v>2201.5</v>
      </c>
      <c r="G53" s="26">
        <v>1996.52</v>
      </c>
      <c r="H53" s="26">
        <v>1996.52</v>
      </c>
      <c r="I53" s="3">
        <f t="shared" si="4"/>
        <v>1976.52</v>
      </c>
    </row>
    <row r="54" spans="2:9" ht="15.75" x14ac:dyDescent="0.25">
      <c r="B54" s="3">
        <v>2422.3333333333335</v>
      </c>
      <c r="D54">
        <v>2129</v>
      </c>
      <c r="E54" s="3">
        <f t="shared" si="5"/>
        <v>2275.666666666667</v>
      </c>
      <c r="F54" s="3">
        <f t="shared" si="3"/>
        <v>2239.666666666667</v>
      </c>
      <c r="G54" s="26">
        <v>2054.3333333333335</v>
      </c>
      <c r="H54" s="26">
        <v>2054.3333333333335</v>
      </c>
      <c r="I54" s="3">
        <f t="shared" si="4"/>
        <v>2034.3333333333335</v>
      </c>
    </row>
    <row r="55" spans="2:9" ht="15.75" x14ac:dyDescent="0.25">
      <c r="B55" s="3">
        <v>2395</v>
      </c>
      <c r="D55">
        <v>2149</v>
      </c>
      <c r="E55" s="3">
        <f t="shared" si="5"/>
        <v>2272</v>
      </c>
      <c r="F55" s="3">
        <f t="shared" si="3"/>
        <v>2236</v>
      </c>
      <c r="G55" s="26">
        <v>2088.9666666666667</v>
      </c>
      <c r="H55" s="26">
        <v>2088.9666666666667</v>
      </c>
      <c r="I55" s="3">
        <f t="shared" si="4"/>
        <v>2068.9666666666667</v>
      </c>
    </row>
    <row r="56" spans="2:9" ht="15.75" x14ac:dyDescent="0.25">
      <c r="B56" s="3">
        <v>2382.8333333333335</v>
      </c>
      <c r="D56">
        <v>2149</v>
      </c>
      <c r="E56" s="3">
        <f t="shared" si="5"/>
        <v>2265.916666666667</v>
      </c>
      <c r="F56" s="3">
        <f t="shared" si="3"/>
        <v>2229.916666666667</v>
      </c>
      <c r="G56" s="26">
        <v>2087.7266666666669</v>
      </c>
      <c r="H56" s="26">
        <v>2087.7266666666669</v>
      </c>
      <c r="I56" s="3">
        <f t="shared" si="4"/>
        <v>2067.7266666666669</v>
      </c>
    </row>
    <row r="57" spans="2:9" ht="15.75" x14ac:dyDescent="0.25">
      <c r="B57" s="3">
        <v>2399.3333333333335</v>
      </c>
      <c r="D57">
        <v>2186</v>
      </c>
      <c r="E57" s="3">
        <f t="shared" si="5"/>
        <v>2292.666666666667</v>
      </c>
      <c r="F57" s="3">
        <f t="shared" si="3"/>
        <v>2256.666666666667</v>
      </c>
      <c r="G57" s="26">
        <v>2090.7400000000002</v>
      </c>
      <c r="H57" s="26">
        <v>2090.7400000000002</v>
      </c>
      <c r="I57" s="3">
        <f t="shared" si="4"/>
        <v>2070.7400000000002</v>
      </c>
    </row>
    <row r="58" spans="2:9" ht="15.75" x14ac:dyDescent="0.25">
      <c r="B58" s="3">
        <v>2390</v>
      </c>
      <c r="D58">
        <v>2194</v>
      </c>
      <c r="E58" s="3">
        <f t="shared" si="5"/>
        <v>2292</v>
      </c>
      <c r="F58" s="3">
        <f t="shared" si="3"/>
        <v>2256</v>
      </c>
      <c r="G58" s="26">
        <v>2102.88</v>
      </c>
      <c r="H58" s="26">
        <v>2102.88</v>
      </c>
      <c r="I58" s="3">
        <f t="shared" si="4"/>
        <v>2082.88</v>
      </c>
    </row>
    <row r="59" spans="2:9" ht="15.75" x14ac:dyDescent="0.25">
      <c r="B59" s="3">
        <v>2405</v>
      </c>
      <c r="D59">
        <v>2341</v>
      </c>
      <c r="E59" s="3">
        <f t="shared" si="5"/>
        <v>2373</v>
      </c>
      <c r="F59" s="3">
        <f t="shared" si="3"/>
        <v>2337</v>
      </c>
      <c r="G59" s="26">
        <v>2124.98</v>
      </c>
      <c r="H59" s="26">
        <v>2124.98</v>
      </c>
      <c r="I59" s="3">
        <f t="shared" si="4"/>
        <v>2104.98</v>
      </c>
    </row>
    <row r="60" spans="2:9" ht="15.75" x14ac:dyDescent="0.25">
      <c r="B60" s="3">
        <v>2395</v>
      </c>
      <c r="D60">
        <v>2304</v>
      </c>
      <c r="E60" s="3">
        <f t="shared" si="5"/>
        <v>2349.5</v>
      </c>
      <c r="F60" s="3">
        <f t="shared" si="3"/>
        <v>2313.5</v>
      </c>
      <c r="G60" s="26">
        <v>2105.2599999999998</v>
      </c>
      <c r="H60" s="26">
        <v>2105.2599999999998</v>
      </c>
      <c r="I60" s="3">
        <f t="shared" si="4"/>
        <v>2085.2599999999998</v>
      </c>
    </row>
    <row r="61" spans="2:9" ht="15.75" x14ac:dyDescent="0.25">
      <c r="B61" s="3">
        <v>2362.146666666667</v>
      </c>
      <c r="D61">
        <v>2373</v>
      </c>
      <c r="E61" s="3">
        <f t="shared" si="5"/>
        <v>2367.5733333333337</v>
      </c>
      <c r="F61" s="3">
        <f t="shared" si="3"/>
        <v>2331.5733333333337</v>
      </c>
      <c r="G61" s="26">
        <v>2092.7199999999998</v>
      </c>
      <c r="H61" s="26">
        <v>2092.7199999999998</v>
      </c>
      <c r="I61" s="3">
        <f t="shared" si="4"/>
        <v>2072.7199999999998</v>
      </c>
    </row>
    <row r="62" spans="2:9" ht="15.75" x14ac:dyDescent="0.25">
      <c r="B62" s="3">
        <v>2380.4500000000003</v>
      </c>
      <c r="D62">
        <v>2244</v>
      </c>
      <c r="E62" s="3">
        <f t="shared" si="5"/>
        <v>2312.2250000000004</v>
      </c>
      <c r="F62" s="3">
        <f t="shared" si="3"/>
        <v>2276.2250000000004</v>
      </c>
      <c r="G62" s="26">
        <v>2092.14</v>
      </c>
      <c r="H62" s="26">
        <v>2092.14</v>
      </c>
      <c r="I62" s="3">
        <f t="shared" si="4"/>
        <v>2072.14</v>
      </c>
    </row>
    <row r="63" spans="2:9" ht="15.75" x14ac:dyDescent="0.25">
      <c r="B63" s="3">
        <v>2374.9733333333334</v>
      </c>
      <c r="D63">
        <v>2230</v>
      </c>
      <c r="E63" s="3">
        <f t="shared" si="5"/>
        <v>2302.4866666666667</v>
      </c>
      <c r="F63" s="3">
        <f t="shared" si="3"/>
        <v>2266.4866666666667</v>
      </c>
      <c r="G63" s="26">
        <v>2057.0666666666666</v>
      </c>
      <c r="H63" s="26">
        <v>2057.0666666666666</v>
      </c>
      <c r="I63" s="3">
        <f t="shared" si="4"/>
        <v>2037.0666666666666</v>
      </c>
    </row>
    <row r="64" spans="2:9" ht="15.75" x14ac:dyDescent="0.25">
      <c r="B64" s="3">
        <v>2377.9333333333334</v>
      </c>
      <c r="D64">
        <v>2335</v>
      </c>
      <c r="E64" s="3">
        <f t="shared" si="5"/>
        <v>2356.4666666666667</v>
      </c>
      <c r="F64" s="3">
        <f t="shared" si="3"/>
        <v>2320.4666666666667</v>
      </c>
      <c r="G64" s="26">
        <v>2042.8066666666668</v>
      </c>
      <c r="H64" s="26">
        <v>2042.8066666666668</v>
      </c>
      <c r="I64" s="3">
        <f t="shared" si="4"/>
        <v>2022.8066666666668</v>
      </c>
    </row>
    <row r="65" spans="2:9" ht="15.75" x14ac:dyDescent="0.25">
      <c r="B65" s="3">
        <v>2360</v>
      </c>
      <c r="D65">
        <v>2205</v>
      </c>
      <c r="E65" s="3">
        <f t="shared" si="5"/>
        <v>2282.5</v>
      </c>
      <c r="F65" s="3">
        <f t="shared" si="3"/>
        <v>2246.5</v>
      </c>
      <c r="G65" s="26">
        <v>2048.9866666666667</v>
      </c>
      <c r="H65" s="26">
        <v>2048.9866666666667</v>
      </c>
      <c r="I65" s="3">
        <f t="shared" si="4"/>
        <v>2028.9866666666667</v>
      </c>
    </row>
    <row r="66" spans="2:9" ht="15.75" x14ac:dyDescent="0.25">
      <c r="B66" s="3">
        <v>2328.6150000000002</v>
      </c>
      <c r="D66">
        <v>2198.6799999999998</v>
      </c>
      <c r="E66" s="3">
        <f t="shared" si="5"/>
        <v>2263.6475</v>
      </c>
      <c r="F66" s="3">
        <f t="shared" ref="F66:F97" si="6">E66-36</f>
        <v>2227.6475</v>
      </c>
      <c r="G66" s="26">
        <v>2050.2866666666669</v>
      </c>
      <c r="H66" s="26">
        <v>2050.2866666666669</v>
      </c>
      <c r="I66" s="3">
        <f t="shared" ref="I66:I97" si="7">H66-20</f>
        <v>2030.2866666666669</v>
      </c>
    </row>
    <row r="67" spans="2:9" ht="15.75" x14ac:dyDescent="0.25">
      <c r="B67" s="3">
        <v>2318.2649999999999</v>
      </c>
      <c r="D67">
        <v>2086.58</v>
      </c>
      <c r="E67" s="3">
        <f t="shared" si="5"/>
        <v>2202.4224999999997</v>
      </c>
      <c r="F67" s="3">
        <f t="shared" si="6"/>
        <v>2166.4224999999997</v>
      </c>
      <c r="G67" s="26">
        <v>1931.8649999999998</v>
      </c>
      <c r="H67" s="26">
        <v>2000</v>
      </c>
      <c r="I67" s="3">
        <f t="shared" si="7"/>
        <v>1980</v>
      </c>
    </row>
    <row r="68" spans="2:9" ht="15.75" x14ac:dyDescent="0.25">
      <c r="B68" s="3">
        <v>2320.7649999999999</v>
      </c>
      <c r="D68">
        <v>2063.0700000000002</v>
      </c>
      <c r="E68" s="3">
        <f t="shared" si="5"/>
        <v>2191.9175</v>
      </c>
      <c r="F68" s="3">
        <f t="shared" si="6"/>
        <v>2155.9175</v>
      </c>
      <c r="G68" s="26">
        <v>1893.3875</v>
      </c>
      <c r="H68" s="3">
        <f t="shared" ref="H68:H97" si="8">80+G68</f>
        <v>1973.3875</v>
      </c>
      <c r="I68" s="3">
        <f t="shared" si="7"/>
        <v>1953.3875</v>
      </c>
    </row>
    <row r="69" spans="2:9" ht="15.75" x14ac:dyDescent="0.25">
      <c r="B69" s="3">
        <v>2255.2383333333332</v>
      </c>
      <c r="D69">
        <v>2074.7800000000002</v>
      </c>
      <c r="E69" s="3">
        <f t="shared" si="5"/>
        <v>2165.0091666666667</v>
      </c>
      <c r="F69" s="3">
        <f t="shared" si="6"/>
        <v>2129.0091666666667</v>
      </c>
      <c r="G69" s="26">
        <v>1865.4775</v>
      </c>
      <c r="H69" s="3">
        <f t="shared" si="8"/>
        <v>1945.4775</v>
      </c>
      <c r="I69" s="3">
        <f t="shared" si="7"/>
        <v>1925.4775</v>
      </c>
    </row>
    <row r="70" spans="2:9" ht="15.75" x14ac:dyDescent="0.25">
      <c r="B70" s="3">
        <v>2233.9083333333333</v>
      </c>
      <c r="D70">
        <v>2076.13</v>
      </c>
      <c r="E70" s="3">
        <f t="shared" ref="E70:E97" si="9">AVERAGE(B70:D70)</f>
        <v>2155.0191666666669</v>
      </c>
      <c r="F70" s="3">
        <f t="shared" si="6"/>
        <v>2119.0191666666669</v>
      </c>
      <c r="G70" s="26">
        <v>1850.4124999999999</v>
      </c>
      <c r="H70" s="3">
        <f t="shared" si="8"/>
        <v>1930.4124999999999</v>
      </c>
      <c r="I70" s="3">
        <f t="shared" si="7"/>
        <v>1910.4124999999999</v>
      </c>
    </row>
    <row r="71" spans="2:9" ht="15.75" x14ac:dyDescent="0.25">
      <c r="B71" s="3">
        <v>2200</v>
      </c>
      <c r="D71">
        <v>2005.25</v>
      </c>
      <c r="E71" s="3">
        <f t="shared" si="9"/>
        <v>2102.625</v>
      </c>
      <c r="F71" s="3">
        <f t="shared" si="6"/>
        <v>2066.625</v>
      </c>
      <c r="G71" s="26">
        <v>1842.35</v>
      </c>
      <c r="H71" s="3">
        <f t="shared" si="8"/>
        <v>1922.35</v>
      </c>
      <c r="I71" s="3">
        <f t="shared" si="7"/>
        <v>1902.35</v>
      </c>
    </row>
    <row r="72" spans="2:9" ht="15.75" x14ac:dyDescent="0.25">
      <c r="B72" s="3">
        <v>2176.8016666666667</v>
      </c>
      <c r="D72">
        <v>1967.75</v>
      </c>
      <c r="E72" s="3">
        <f t="shared" si="9"/>
        <v>2072.2758333333331</v>
      </c>
      <c r="F72" s="3">
        <f t="shared" si="6"/>
        <v>2036.2758333333331</v>
      </c>
      <c r="G72" s="26">
        <v>1821.9949999999999</v>
      </c>
      <c r="H72" s="3">
        <f t="shared" si="8"/>
        <v>1901.9949999999999</v>
      </c>
      <c r="I72" s="3">
        <f t="shared" si="7"/>
        <v>1881.9949999999999</v>
      </c>
    </row>
    <row r="73" spans="2:9" ht="15.75" x14ac:dyDescent="0.25">
      <c r="B73" s="3">
        <v>2165.42</v>
      </c>
      <c r="D73">
        <v>1909.41</v>
      </c>
      <c r="E73" s="3">
        <f t="shared" si="9"/>
        <v>2037.415</v>
      </c>
      <c r="F73" s="3">
        <f t="shared" si="6"/>
        <v>2001.415</v>
      </c>
      <c r="G73" s="26">
        <v>1816.2075</v>
      </c>
      <c r="H73" s="3">
        <f t="shared" si="8"/>
        <v>1896.2075</v>
      </c>
      <c r="I73" s="3">
        <f t="shared" si="7"/>
        <v>1876.2075</v>
      </c>
    </row>
    <row r="74" spans="2:9" ht="15.75" x14ac:dyDescent="0.25">
      <c r="B74" s="3">
        <v>2155.2599999999998</v>
      </c>
      <c r="D74">
        <v>1897.37</v>
      </c>
      <c r="E74" s="3">
        <f t="shared" si="9"/>
        <v>2026.3149999999998</v>
      </c>
      <c r="F74" s="3">
        <f t="shared" si="6"/>
        <v>1990.3149999999998</v>
      </c>
      <c r="G74" s="26">
        <v>1862.2224999999999</v>
      </c>
      <c r="H74" s="3">
        <f t="shared" si="8"/>
        <v>1942.2224999999999</v>
      </c>
      <c r="I74" s="3">
        <f t="shared" si="7"/>
        <v>1922.2224999999999</v>
      </c>
    </row>
    <row r="75" spans="2:9" ht="15.75" x14ac:dyDescent="0.25">
      <c r="B75" s="3">
        <v>2093.2400000000002</v>
      </c>
      <c r="D75">
        <v>1841.27</v>
      </c>
      <c r="E75" s="3">
        <f t="shared" si="9"/>
        <v>1967.2550000000001</v>
      </c>
      <c r="F75" s="3">
        <f t="shared" si="6"/>
        <v>1931.2550000000001</v>
      </c>
      <c r="G75" s="26">
        <v>1888.2625</v>
      </c>
      <c r="H75" s="3">
        <f t="shared" si="8"/>
        <v>1968.2625</v>
      </c>
      <c r="I75" s="3">
        <f t="shared" si="7"/>
        <v>1948.2625</v>
      </c>
    </row>
    <row r="76" spans="2:9" ht="15.75" x14ac:dyDescent="0.25">
      <c r="B76" s="3">
        <v>2050.251666666667</v>
      </c>
      <c r="D76">
        <v>1821.9</v>
      </c>
      <c r="E76" s="3">
        <f t="shared" si="9"/>
        <v>1936.0758333333335</v>
      </c>
      <c r="F76" s="3">
        <f t="shared" si="6"/>
        <v>1900.0758333333335</v>
      </c>
      <c r="G76" s="26">
        <v>1909.3525</v>
      </c>
      <c r="H76" s="3">
        <f t="shared" si="8"/>
        <v>1989.3525</v>
      </c>
      <c r="I76" s="3">
        <f t="shared" si="7"/>
        <v>1969.3525</v>
      </c>
    </row>
    <row r="77" spans="2:9" ht="15.75" x14ac:dyDescent="0.25">
      <c r="B77" s="3">
        <v>1985</v>
      </c>
      <c r="D77">
        <v>1808.37</v>
      </c>
      <c r="E77" s="3">
        <f t="shared" si="9"/>
        <v>1896.6849999999999</v>
      </c>
      <c r="F77" s="3">
        <f t="shared" si="6"/>
        <v>1860.6849999999999</v>
      </c>
      <c r="G77" s="26">
        <v>1939.3675000000003</v>
      </c>
      <c r="H77" s="3">
        <f t="shared" si="8"/>
        <v>2019.3675000000003</v>
      </c>
      <c r="I77" s="3">
        <f t="shared" si="7"/>
        <v>1999.3675000000003</v>
      </c>
    </row>
    <row r="78" spans="2:9" ht="15.75" x14ac:dyDescent="0.25">
      <c r="B78" s="3">
        <v>2020</v>
      </c>
      <c r="D78">
        <v>1818.38</v>
      </c>
      <c r="E78" s="3">
        <f t="shared" si="9"/>
        <v>1919.19</v>
      </c>
      <c r="F78" s="3">
        <f t="shared" si="6"/>
        <v>1883.19</v>
      </c>
      <c r="G78" s="26">
        <v>1999.6374999999998</v>
      </c>
      <c r="H78" s="3">
        <f t="shared" si="8"/>
        <v>2079.6374999999998</v>
      </c>
      <c r="I78" s="3">
        <f t="shared" si="7"/>
        <v>2059.6374999999998</v>
      </c>
    </row>
    <row r="79" spans="2:9" ht="15.75" x14ac:dyDescent="0.25">
      <c r="B79" s="3">
        <v>2140</v>
      </c>
      <c r="D79">
        <v>1892.05</v>
      </c>
      <c r="E79" s="3">
        <f t="shared" si="9"/>
        <v>2016.0250000000001</v>
      </c>
      <c r="F79" s="3">
        <f t="shared" si="6"/>
        <v>1980.0250000000001</v>
      </c>
      <c r="G79" s="26">
        <v>2041.2625000000003</v>
      </c>
      <c r="H79" s="3">
        <f t="shared" si="8"/>
        <v>2121.2625000000003</v>
      </c>
      <c r="I79" s="3">
        <f t="shared" si="7"/>
        <v>2101.2625000000003</v>
      </c>
    </row>
    <row r="80" spans="2:9" ht="15.75" x14ac:dyDescent="0.25">
      <c r="B80" s="3">
        <v>2170</v>
      </c>
      <c r="D80">
        <v>1974.39</v>
      </c>
      <c r="E80" s="3">
        <f t="shared" si="9"/>
        <v>2072.1950000000002</v>
      </c>
      <c r="F80" s="3">
        <f t="shared" si="6"/>
        <v>2036.1950000000002</v>
      </c>
      <c r="G80" s="26">
        <v>2097.6350000000002</v>
      </c>
      <c r="H80" s="3">
        <f t="shared" si="8"/>
        <v>2177.6350000000002</v>
      </c>
      <c r="I80" s="3">
        <f t="shared" si="7"/>
        <v>2157.6350000000002</v>
      </c>
    </row>
    <row r="81" spans="2:9" ht="15.75" x14ac:dyDescent="0.25">
      <c r="B81" s="3">
        <v>2250</v>
      </c>
      <c r="D81">
        <v>2062.62</v>
      </c>
      <c r="E81" s="3">
        <f t="shared" si="9"/>
        <v>2156.31</v>
      </c>
      <c r="F81" s="3">
        <f t="shared" si="6"/>
        <v>2120.31</v>
      </c>
      <c r="G81" s="26">
        <v>2143.2049999999999</v>
      </c>
      <c r="H81" s="3">
        <f t="shared" si="8"/>
        <v>2223.2049999999999</v>
      </c>
      <c r="I81" s="3">
        <f t="shared" si="7"/>
        <v>2203.2049999999999</v>
      </c>
    </row>
    <row r="82" spans="2:9" ht="15.75" x14ac:dyDescent="0.25">
      <c r="B82" s="3">
        <v>2321.7516666666666</v>
      </c>
      <c r="D82">
        <v>2176.5500000000002</v>
      </c>
      <c r="E82" s="3">
        <f t="shared" si="9"/>
        <v>2249.1508333333331</v>
      </c>
      <c r="F82" s="3">
        <f t="shared" si="6"/>
        <v>2213.1508333333331</v>
      </c>
      <c r="G82" s="26">
        <v>2162.1575000000003</v>
      </c>
      <c r="H82" s="3">
        <f t="shared" si="8"/>
        <v>2242.1575000000003</v>
      </c>
      <c r="I82" s="3">
        <f t="shared" si="7"/>
        <v>2222.1575000000003</v>
      </c>
    </row>
    <row r="83" spans="2:9" ht="15.75" x14ac:dyDescent="0.25">
      <c r="B83" s="3">
        <v>2386.0616666666665</v>
      </c>
      <c r="D83">
        <v>2154.79</v>
      </c>
      <c r="E83" s="3">
        <f t="shared" si="9"/>
        <v>2270.4258333333332</v>
      </c>
      <c r="F83" s="3">
        <f t="shared" si="6"/>
        <v>2234.4258333333332</v>
      </c>
      <c r="G83" s="26">
        <v>2169.3424999999997</v>
      </c>
      <c r="H83" s="3">
        <f t="shared" si="8"/>
        <v>2249.3424999999997</v>
      </c>
      <c r="I83" s="3">
        <f t="shared" si="7"/>
        <v>2229.3424999999997</v>
      </c>
    </row>
    <row r="84" spans="2:9" ht="15.75" x14ac:dyDescent="0.25">
      <c r="B84" s="3">
        <v>2404.9366666666665</v>
      </c>
      <c r="D84">
        <v>2157.4299999999998</v>
      </c>
      <c r="E84" s="3">
        <f t="shared" si="9"/>
        <v>2281.1833333333334</v>
      </c>
      <c r="F84" s="3">
        <f t="shared" si="6"/>
        <v>2245.1833333333334</v>
      </c>
      <c r="G84" s="26">
        <v>2178.7275</v>
      </c>
      <c r="H84" s="3">
        <f t="shared" si="8"/>
        <v>2258.7275</v>
      </c>
      <c r="I84" s="3">
        <f t="shared" si="7"/>
        <v>2238.7275</v>
      </c>
    </row>
    <row r="85" spans="2:9" ht="15.75" x14ac:dyDescent="0.25">
      <c r="B85" s="3">
        <v>2436.1666666666665</v>
      </c>
      <c r="D85">
        <v>2222.4899999999998</v>
      </c>
      <c r="E85" s="3">
        <f t="shared" si="9"/>
        <v>2329.3283333333329</v>
      </c>
      <c r="F85" s="3">
        <f t="shared" si="6"/>
        <v>2293.3283333333329</v>
      </c>
      <c r="G85" s="26">
        <v>2144.3675000000003</v>
      </c>
      <c r="H85" s="3">
        <f t="shared" si="8"/>
        <v>2224.3675000000003</v>
      </c>
      <c r="I85" s="3">
        <f t="shared" si="7"/>
        <v>2204.3675000000003</v>
      </c>
    </row>
    <row r="86" spans="2:9" ht="15.75" x14ac:dyDescent="0.25">
      <c r="B86" s="3">
        <v>2467.0016666666666</v>
      </c>
      <c r="D86">
        <v>2213.67</v>
      </c>
      <c r="E86" s="3">
        <f t="shared" si="9"/>
        <v>2340.3358333333335</v>
      </c>
      <c r="F86" s="3">
        <f t="shared" si="6"/>
        <v>2304.3358333333335</v>
      </c>
      <c r="G86" s="26">
        <v>2150.0474999999997</v>
      </c>
      <c r="H86" s="3">
        <f t="shared" si="8"/>
        <v>2230.0474999999997</v>
      </c>
      <c r="I86" s="3">
        <f t="shared" si="7"/>
        <v>2210.0474999999997</v>
      </c>
    </row>
    <row r="87" spans="2:9" ht="15.75" x14ac:dyDescent="0.25">
      <c r="B87" s="3">
        <v>2454.1733333333336</v>
      </c>
      <c r="D87">
        <v>2265.59</v>
      </c>
      <c r="E87" s="3">
        <f t="shared" si="9"/>
        <v>2359.8816666666671</v>
      </c>
      <c r="F87" s="3">
        <f t="shared" si="6"/>
        <v>2323.8816666666671</v>
      </c>
      <c r="G87" s="26">
        <v>2148.9675000000002</v>
      </c>
      <c r="H87" s="3">
        <f t="shared" si="8"/>
        <v>2228.9675000000002</v>
      </c>
      <c r="I87" s="3">
        <f t="shared" si="7"/>
        <v>2208.9675000000002</v>
      </c>
    </row>
    <row r="88" spans="2:9" ht="15.75" x14ac:dyDescent="0.25">
      <c r="B88" s="3">
        <v>2450.6733333333336</v>
      </c>
      <c r="D88">
        <v>2252.64</v>
      </c>
      <c r="E88" s="3">
        <f t="shared" si="9"/>
        <v>2351.6566666666668</v>
      </c>
      <c r="F88" s="3">
        <f t="shared" si="6"/>
        <v>2315.6566666666668</v>
      </c>
      <c r="G88" s="26">
        <v>2143.1975000000002</v>
      </c>
      <c r="H88" s="3">
        <f t="shared" si="8"/>
        <v>2223.1975000000002</v>
      </c>
      <c r="I88" s="3">
        <f t="shared" si="7"/>
        <v>2203.1975000000002</v>
      </c>
    </row>
    <row r="89" spans="2:9" ht="15.75" x14ac:dyDescent="0.25">
      <c r="B89" s="3">
        <v>2483.6083333333331</v>
      </c>
      <c r="D89">
        <v>2206.73</v>
      </c>
      <c r="E89" s="3">
        <f t="shared" si="9"/>
        <v>2345.1691666666666</v>
      </c>
      <c r="F89" s="3">
        <f t="shared" si="6"/>
        <v>2309.1691666666666</v>
      </c>
      <c r="G89" s="26">
        <v>2143.3375000000001</v>
      </c>
      <c r="H89" s="3">
        <f t="shared" si="8"/>
        <v>2223.3375000000001</v>
      </c>
      <c r="I89" s="3">
        <f t="shared" si="7"/>
        <v>2203.3375000000001</v>
      </c>
    </row>
    <row r="90" spans="2:9" ht="15.75" x14ac:dyDescent="0.25">
      <c r="B90" s="3">
        <v>2447.8333333333335</v>
      </c>
      <c r="D90">
        <v>2220.9</v>
      </c>
      <c r="E90" s="3">
        <f t="shared" si="9"/>
        <v>2334.3666666666668</v>
      </c>
      <c r="F90" s="3">
        <f t="shared" si="6"/>
        <v>2298.3666666666668</v>
      </c>
      <c r="G90" s="26">
        <v>2168.75</v>
      </c>
      <c r="H90" s="3">
        <f t="shared" si="8"/>
        <v>2248.75</v>
      </c>
      <c r="I90" s="3">
        <f t="shared" si="7"/>
        <v>2228.75</v>
      </c>
    </row>
    <row r="91" spans="2:9" ht="15.75" x14ac:dyDescent="0.25">
      <c r="B91" s="3">
        <v>2480</v>
      </c>
      <c r="D91">
        <v>2271.9</v>
      </c>
      <c r="E91" s="3">
        <f t="shared" si="9"/>
        <v>2375.9499999999998</v>
      </c>
      <c r="F91" s="3">
        <f t="shared" si="6"/>
        <v>2339.9499999999998</v>
      </c>
      <c r="G91" s="26">
        <v>2179.2975000000001</v>
      </c>
      <c r="H91" s="3">
        <f t="shared" si="8"/>
        <v>2259.2975000000001</v>
      </c>
      <c r="I91" s="3">
        <f t="shared" si="7"/>
        <v>2239.2975000000001</v>
      </c>
    </row>
    <row r="92" spans="2:9" ht="15.75" x14ac:dyDescent="0.25">
      <c r="B92" s="3">
        <v>2520</v>
      </c>
      <c r="D92">
        <v>2271.9</v>
      </c>
      <c r="E92" s="3">
        <f t="shared" si="9"/>
        <v>2395.9499999999998</v>
      </c>
      <c r="F92" s="3">
        <f t="shared" si="6"/>
        <v>2359.9499999999998</v>
      </c>
      <c r="G92" s="26">
        <v>2193.7249999999999</v>
      </c>
      <c r="H92" s="3">
        <f t="shared" si="8"/>
        <v>2273.7249999999999</v>
      </c>
      <c r="I92" s="3">
        <f t="shared" si="7"/>
        <v>2253.7249999999999</v>
      </c>
    </row>
    <row r="93" spans="2:9" ht="15.75" x14ac:dyDescent="0.25">
      <c r="B93" s="3">
        <v>2560</v>
      </c>
      <c r="D93">
        <v>2301.29</v>
      </c>
      <c r="E93" s="3">
        <f t="shared" si="9"/>
        <v>2430.645</v>
      </c>
      <c r="F93" s="3">
        <f t="shared" si="6"/>
        <v>2394.645</v>
      </c>
      <c r="G93" s="26">
        <v>2198.42</v>
      </c>
      <c r="H93" s="3">
        <f t="shared" si="8"/>
        <v>2278.42</v>
      </c>
      <c r="I93" s="3">
        <f t="shared" si="7"/>
        <v>2258.42</v>
      </c>
    </row>
    <row r="94" spans="2:9" ht="15.75" x14ac:dyDescent="0.25">
      <c r="B94" s="3">
        <v>2550</v>
      </c>
      <c r="D94">
        <v>2343.9</v>
      </c>
      <c r="E94" s="3">
        <f t="shared" si="9"/>
        <v>2446.9499999999998</v>
      </c>
      <c r="F94" s="3">
        <f t="shared" si="6"/>
        <v>2410.9499999999998</v>
      </c>
      <c r="G94" s="26">
        <v>2247.9674999999997</v>
      </c>
      <c r="H94" s="3">
        <f t="shared" si="8"/>
        <v>2327.9674999999997</v>
      </c>
      <c r="I94" s="3">
        <f t="shared" si="7"/>
        <v>2307.9674999999997</v>
      </c>
    </row>
    <row r="95" spans="2:9" ht="15.75" x14ac:dyDescent="0.25">
      <c r="B95" s="3">
        <v>2540</v>
      </c>
      <c r="D95">
        <v>2293.36</v>
      </c>
      <c r="E95" s="3">
        <f t="shared" si="9"/>
        <v>2416.6800000000003</v>
      </c>
      <c r="F95" s="3">
        <f t="shared" si="6"/>
        <v>2380.6800000000003</v>
      </c>
      <c r="G95" s="26">
        <v>2235.2725</v>
      </c>
      <c r="H95" s="3">
        <f t="shared" si="8"/>
        <v>2315.2725</v>
      </c>
      <c r="I95" s="3">
        <f t="shared" si="7"/>
        <v>2295.2725</v>
      </c>
    </row>
    <row r="96" spans="2:9" ht="15.75" x14ac:dyDescent="0.25">
      <c r="B96" s="3">
        <v>2508.6666666666665</v>
      </c>
      <c r="D96">
        <v>2308.19</v>
      </c>
      <c r="E96" s="3">
        <f t="shared" si="9"/>
        <v>2408.4283333333333</v>
      </c>
      <c r="F96" s="3">
        <f t="shared" si="6"/>
        <v>2372.4283333333333</v>
      </c>
      <c r="G96" s="26">
        <v>2237.3874999999998</v>
      </c>
      <c r="H96" s="3">
        <f t="shared" si="8"/>
        <v>2317.3874999999998</v>
      </c>
      <c r="I96" s="3">
        <f t="shared" si="7"/>
        <v>2297.3874999999998</v>
      </c>
    </row>
    <row r="97" spans="2:9" ht="15.75" x14ac:dyDescent="0.25">
      <c r="B97" s="3">
        <v>2500</v>
      </c>
      <c r="D97">
        <v>2221.1</v>
      </c>
      <c r="E97" s="3">
        <f t="shared" si="9"/>
        <v>2360.5500000000002</v>
      </c>
      <c r="F97" s="3">
        <f t="shared" si="6"/>
        <v>2324.5500000000002</v>
      </c>
      <c r="G97" s="26">
        <v>2221.04</v>
      </c>
      <c r="H97" s="3">
        <f t="shared" si="8"/>
        <v>2301.04</v>
      </c>
      <c r="I97" s="3">
        <f t="shared" si="7"/>
        <v>2281.04</v>
      </c>
    </row>
    <row r="98" spans="2:9" ht="15.75" x14ac:dyDescent="0.25">
      <c r="B98" s="3">
        <f t="shared" ref="B98:I98" si="10">AVERAGE(B2:B97)*0.24</f>
        <v>570.89493750000031</v>
      </c>
      <c r="C98" s="3">
        <f t="shared" si="10"/>
        <v>449.48633333333333</v>
      </c>
      <c r="D98" s="3">
        <f t="shared" si="10"/>
        <v>521.32357499999989</v>
      </c>
      <c r="E98" s="3">
        <f t="shared" si="10"/>
        <v>522.23502708333342</v>
      </c>
      <c r="F98" s="3">
        <f t="shared" si="10"/>
        <v>513.59502708333343</v>
      </c>
      <c r="G98" s="21">
        <f t="shared" si="10"/>
        <v>519.28958333333355</v>
      </c>
      <c r="H98" s="21">
        <f t="shared" si="10"/>
        <v>525.45992083333351</v>
      </c>
      <c r="I98" s="21">
        <f t="shared" si="10"/>
        <v>520.65992083333356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J14" sqref="J14"/>
    </sheetView>
  </sheetViews>
  <sheetFormatPr defaultRowHeight="15" x14ac:dyDescent="0.25"/>
  <sheetData>
    <row r="1" spans="1:7" x14ac:dyDescent="0.25">
      <c r="A1" s="3">
        <v>3324.6000000000004</v>
      </c>
      <c r="B1">
        <v>3344.99</v>
      </c>
      <c r="C1">
        <v>3337.87</v>
      </c>
      <c r="D1">
        <v>3177.82</v>
      </c>
      <c r="E1">
        <f t="shared" ref="E1:E32" si="0">AVERAGE(B1:D1)</f>
        <v>3286.8933333333334</v>
      </c>
      <c r="F1" s="3">
        <f t="shared" ref="F1:F8" si="1">50+E1</f>
        <v>3336.8933333333334</v>
      </c>
      <c r="G1" s="3">
        <f t="shared" ref="G1:G8" si="2">20+F1</f>
        <v>3356.8933333333334</v>
      </c>
    </row>
    <row r="2" spans="1:7" x14ac:dyDescent="0.25">
      <c r="A2" s="3">
        <v>3243.09</v>
      </c>
      <c r="B2">
        <v>3274.08</v>
      </c>
      <c r="C2">
        <v>3253.76</v>
      </c>
      <c r="D2">
        <v>3075.11</v>
      </c>
      <c r="E2">
        <f t="shared" si="0"/>
        <v>3200.9833333333336</v>
      </c>
      <c r="F2" s="3">
        <f t="shared" si="1"/>
        <v>3250.9833333333336</v>
      </c>
      <c r="G2" s="3">
        <f t="shared" si="2"/>
        <v>3270.9833333333336</v>
      </c>
    </row>
    <row r="3" spans="1:7" x14ac:dyDescent="0.25">
      <c r="A3" s="3">
        <v>3248.2233333333334</v>
      </c>
      <c r="B3">
        <v>3258.05</v>
      </c>
      <c r="C3">
        <v>3245.26</v>
      </c>
      <c r="D3">
        <v>3122.57</v>
      </c>
      <c r="E3">
        <f t="shared" si="0"/>
        <v>3208.626666666667</v>
      </c>
      <c r="F3" s="3">
        <f t="shared" si="1"/>
        <v>3258.626666666667</v>
      </c>
      <c r="G3" s="3">
        <f t="shared" si="2"/>
        <v>3278.626666666667</v>
      </c>
    </row>
    <row r="4" spans="1:7" x14ac:dyDescent="0.25">
      <c r="A4" s="3">
        <v>3246.8</v>
      </c>
      <c r="B4">
        <v>3248.38</v>
      </c>
      <c r="C4">
        <v>3213.03</v>
      </c>
      <c r="D4">
        <v>3137.64</v>
      </c>
      <c r="E4">
        <f t="shared" si="0"/>
        <v>3199.6833333333329</v>
      </c>
      <c r="F4" s="3">
        <f t="shared" si="1"/>
        <v>3249.6833333333329</v>
      </c>
      <c r="G4" s="3">
        <f t="shared" si="2"/>
        <v>3269.6833333333329</v>
      </c>
    </row>
    <row r="5" spans="1:7" x14ac:dyDescent="0.25">
      <c r="A5" s="3">
        <v>3222.6033333333335</v>
      </c>
      <c r="B5">
        <v>3223.31</v>
      </c>
      <c r="C5">
        <v>3197.17</v>
      </c>
      <c r="D5">
        <v>3145.19</v>
      </c>
      <c r="E5">
        <f t="shared" si="0"/>
        <v>3188.5566666666668</v>
      </c>
      <c r="F5" s="3">
        <f t="shared" si="1"/>
        <v>3238.5566666666668</v>
      </c>
      <c r="G5" s="3">
        <f t="shared" si="2"/>
        <v>3258.5566666666668</v>
      </c>
    </row>
    <row r="6" spans="1:7" x14ac:dyDescent="0.25">
      <c r="A6" s="3">
        <v>3186.6566666666668</v>
      </c>
      <c r="B6">
        <v>3188.4</v>
      </c>
      <c r="C6">
        <v>3156.23</v>
      </c>
      <c r="D6">
        <v>3107.17</v>
      </c>
      <c r="E6">
        <f t="shared" si="0"/>
        <v>3150.6</v>
      </c>
      <c r="F6" s="3">
        <f t="shared" si="1"/>
        <v>3200.6</v>
      </c>
      <c r="G6" s="3">
        <f t="shared" si="2"/>
        <v>3220.6</v>
      </c>
    </row>
    <row r="7" spans="1:7" x14ac:dyDescent="0.25">
      <c r="A7" s="3">
        <v>3163.98</v>
      </c>
      <c r="B7">
        <v>3169.1</v>
      </c>
      <c r="C7">
        <v>3132.78</v>
      </c>
      <c r="D7">
        <v>3077.74</v>
      </c>
      <c r="E7">
        <f t="shared" si="0"/>
        <v>3126.5399999999995</v>
      </c>
      <c r="F7" s="3">
        <f t="shared" si="1"/>
        <v>3176.5399999999995</v>
      </c>
      <c r="G7" s="3">
        <f t="shared" si="2"/>
        <v>3196.5399999999995</v>
      </c>
    </row>
    <row r="8" spans="1:7" x14ac:dyDescent="0.25">
      <c r="A8" s="3">
        <v>3132.08</v>
      </c>
      <c r="B8">
        <v>3124</v>
      </c>
      <c r="C8">
        <v>3095.7</v>
      </c>
      <c r="D8">
        <v>3060.12</v>
      </c>
      <c r="E8">
        <f t="shared" si="0"/>
        <v>3093.2733333333331</v>
      </c>
      <c r="F8" s="3">
        <f t="shared" si="1"/>
        <v>3143.2733333333331</v>
      </c>
      <c r="G8" s="3">
        <f t="shared" si="2"/>
        <v>3163.2733333333331</v>
      </c>
    </row>
    <row r="9" spans="1:7" x14ac:dyDescent="0.25">
      <c r="A9" s="3">
        <v>3085.11</v>
      </c>
      <c r="B9">
        <v>3045.17</v>
      </c>
      <c r="C9">
        <v>3022.47</v>
      </c>
      <c r="D9">
        <v>3018.16</v>
      </c>
      <c r="E9">
        <f t="shared" si="0"/>
        <v>3028.6</v>
      </c>
      <c r="F9" s="3">
        <f t="shared" ref="F9:F24" si="3">30+E9</f>
        <v>3058.6</v>
      </c>
      <c r="G9" s="3">
        <f t="shared" ref="G9:G40" si="4">10+F9</f>
        <v>3068.6</v>
      </c>
    </row>
    <row r="10" spans="1:7" x14ac:dyDescent="0.25">
      <c r="A10" s="3">
        <v>3031.5466666666666</v>
      </c>
      <c r="B10">
        <v>3000.64</v>
      </c>
      <c r="C10">
        <v>2958.37</v>
      </c>
      <c r="D10">
        <v>2941</v>
      </c>
      <c r="E10">
        <f t="shared" si="0"/>
        <v>2966.67</v>
      </c>
      <c r="F10" s="3">
        <f t="shared" si="3"/>
        <v>2996.67</v>
      </c>
      <c r="G10" s="3">
        <f t="shared" si="4"/>
        <v>3006.67</v>
      </c>
    </row>
    <row r="11" spans="1:7" x14ac:dyDescent="0.25">
      <c r="A11" s="3">
        <v>2974.4866666666662</v>
      </c>
      <c r="B11">
        <v>2939.45</v>
      </c>
      <c r="C11">
        <v>2960.63</v>
      </c>
      <c r="D11">
        <v>2908.01</v>
      </c>
      <c r="E11">
        <f t="shared" si="0"/>
        <v>2936.03</v>
      </c>
      <c r="F11" s="3">
        <f t="shared" si="3"/>
        <v>2966.03</v>
      </c>
      <c r="G11" s="3">
        <f t="shared" si="4"/>
        <v>2976.03</v>
      </c>
    </row>
    <row r="12" spans="1:7" x14ac:dyDescent="0.25">
      <c r="A12" s="3">
        <v>2945.2533333333336</v>
      </c>
      <c r="B12">
        <v>2908.32</v>
      </c>
      <c r="C12">
        <v>2927.85</v>
      </c>
      <c r="D12">
        <v>2898.44</v>
      </c>
      <c r="E12">
        <f t="shared" si="0"/>
        <v>2911.5366666666669</v>
      </c>
      <c r="F12" s="3">
        <f t="shared" si="3"/>
        <v>2941.5366666666669</v>
      </c>
      <c r="G12" s="3">
        <f t="shared" si="4"/>
        <v>2951.5366666666669</v>
      </c>
    </row>
    <row r="13" spans="1:7" x14ac:dyDescent="0.25">
      <c r="A13" s="3">
        <v>3020.5466666666666</v>
      </c>
      <c r="B13">
        <v>2974.54</v>
      </c>
      <c r="C13">
        <v>2976.39</v>
      </c>
      <c r="D13">
        <v>2960.1</v>
      </c>
      <c r="E13">
        <f t="shared" si="0"/>
        <v>2970.3433333333337</v>
      </c>
      <c r="F13" s="3">
        <f t="shared" si="3"/>
        <v>3000.3433333333337</v>
      </c>
      <c r="G13" s="3">
        <f t="shared" si="4"/>
        <v>3010.3433333333337</v>
      </c>
    </row>
    <row r="14" spans="1:7" x14ac:dyDescent="0.25">
      <c r="A14" s="3">
        <v>3019.5</v>
      </c>
      <c r="B14">
        <v>2991.88</v>
      </c>
      <c r="C14">
        <v>2982.12</v>
      </c>
      <c r="D14">
        <v>2934.62</v>
      </c>
      <c r="E14">
        <f t="shared" si="0"/>
        <v>2969.5399999999995</v>
      </c>
      <c r="F14" s="3">
        <f t="shared" si="3"/>
        <v>2999.5399999999995</v>
      </c>
      <c r="G14" s="3">
        <f t="shared" si="4"/>
        <v>3009.5399999999995</v>
      </c>
    </row>
    <row r="15" spans="1:7" x14ac:dyDescent="0.25">
      <c r="A15" s="3">
        <v>3027.6666666666665</v>
      </c>
      <c r="B15">
        <v>2986.4</v>
      </c>
      <c r="C15">
        <v>2967.01</v>
      </c>
      <c r="D15">
        <v>2954.6</v>
      </c>
      <c r="E15">
        <f t="shared" si="0"/>
        <v>2969.3366666666666</v>
      </c>
      <c r="F15" s="3">
        <f t="shared" si="3"/>
        <v>2999.3366666666666</v>
      </c>
      <c r="G15" s="3">
        <f t="shared" si="4"/>
        <v>3009.3366666666666</v>
      </c>
    </row>
    <row r="16" spans="1:7" x14ac:dyDescent="0.25">
      <c r="A16" s="3">
        <v>3011.9133333333334</v>
      </c>
      <c r="B16">
        <v>2994.2</v>
      </c>
      <c r="C16">
        <v>2958.06</v>
      </c>
      <c r="D16">
        <v>2940.54</v>
      </c>
      <c r="E16">
        <f t="shared" si="0"/>
        <v>2964.2666666666664</v>
      </c>
      <c r="F16" s="3">
        <f t="shared" si="3"/>
        <v>2994.2666666666664</v>
      </c>
      <c r="G16" s="3">
        <f t="shared" si="4"/>
        <v>3004.2666666666664</v>
      </c>
    </row>
    <row r="17" spans="1:7" x14ac:dyDescent="0.25">
      <c r="A17" s="3">
        <v>3014.5</v>
      </c>
      <c r="B17">
        <v>3011.01</v>
      </c>
      <c r="C17">
        <v>2972.24</v>
      </c>
      <c r="D17">
        <v>2956.49</v>
      </c>
      <c r="E17">
        <f t="shared" si="0"/>
        <v>2979.9133333333334</v>
      </c>
      <c r="F17" s="3">
        <f t="shared" si="3"/>
        <v>3009.9133333333334</v>
      </c>
      <c r="G17" s="3">
        <f t="shared" si="4"/>
        <v>3019.9133333333334</v>
      </c>
    </row>
    <row r="18" spans="1:7" x14ac:dyDescent="0.25">
      <c r="A18" s="3">
        <v>3031.1333333333332</v>
      </c>
      <c r="B18">
        <v>3036.82</v>
      </c>
      <c r="C18">
        <v>2968.88</v>
      </c>
      <c r="D18">
        <v>2932.52</v>
      </c>
      <c r="E18">
        <f t="shared" si="0"/>
        <v>2979.4066666666672</v>
      </c>
      <c r="F18" s="3">
        <f t="shared" si="3"/>
        <v>3009.4066666666672</v>
      </c>
      <c r="G18" s="3">
        <f t="shared" si="4"/>
        <v>3019.4066666666672</v>
      </c>
    </row>
    <row r="19" spans="1:7" x14ac:dyDescent="0.25">
      <c r="A19" s="3">
        <v>3027.4399999999996</v>
      </c>
      <c r="B19">
        <v>3042.31</v>
      </c>
      <c r="C19">
        <v>2985.78</v>
      </c>
      <c r="D19">
        <v>2915.2</v>
      </c>
      <c r="E19">
        <f t="shared" si="0"/>
        <v>2981.0966666666668</v>
      </c>
      <c r="F19" s="3">
        <f t="shared" si="3"/>
        <v>3011.0966666666668</v>
      </c>
      <c r="G19" s="3">
        <f t="shared" si="4"/>
        <v>3021.0966666666668</v>
      </c>
    </row>
    <row r="20" spans="1:7" x14ac:dyDescent="0.25">
      <c r="A20" s="8">
        <v>3051.0733333333333</v>
      </c>
      <c r="B20" s="6">
        <v>3063.88</v>
      </c>
      <c r="C20" s="6">
        <v>2992.2</v>
      </c>
      <c r="D20" s="6">
        <v>2942.96</v>
      </c>
      <c r="E20">
        <f t="shared" si="0"/>
        <v>2999.6800000000003</v>
      </c>
      <c r="F20" s="3">
        <f t="shared" si="3"/>
        <v>3029.6800000000003</v>
      </c>
      <c r="G20" s="3">
        <f t="shared" si="4"/>
        <v>3039.6800000000003</v>
      </c>
    </row>
    <row r="21" spans="1:7" x14ac:dyDescent="0.25">
      <c r="A21" s="3">
        <v>3070.96</v>
      </c>
      <c r="B21">
        <v>3076.51</v>
      </c>
      <c r="C21">
        <v>3010.3</v>
      </c>
      <c r="D21">
        <v>2954.86</v>
      </c>
      <c r="E21">
        <f t="shared" si="0"/>
        <v>3013.89</v>
      </c>
      <c r="F21" s="3">
        <f t="shared" si="3"/>
        <v>3043.89</v>
      </c>
      <c r="G21" s="3">
        <f t="shared" si="4"/>
        <v>3053.89</v>
      </c>
    </row>
    <row r="22" spans="1:7" x14ac:dyDescent="0.25">
      <c r="A22" s="3">
        <v>3087.6166666666668</v>
      </c>
      <c r="B22">
        <v>3080.33</v>
      </c>
      <c r="D22">
        <v>2986.26</v>
      </c>
      <c r="E22">
        <f t="shared" si="0"/>
        <v>3033.2950000000001</v>
      </c>
      <c r="F22" s="3">
        <f t="shared" si="3"/>
        <v>3063.2950000000001</v>
      </c>
      <c r="G22" s="3">
        <f t="shared" si="4"/>
        <v>3073.2950000000001</v>
      </c>
    </row>
    <row r="23" spans="1:7" x14ac:dyDescent="0.25">
      <c r="A23" s="3">
        <v>3107.7333333333336</v>
      </c>
      <c r="B23">
        <v>3088.2</v>
      </c>
      <c r="D23">
        <v>3012.5</v>
      </c>
      <c r="E23">
        <f t="shared" si="0"/>
        <v>3050.35</v>
      </c>
      <c r="F23" s="3">
        <f t="shared" si="3"/>
        <v>3080.35</v>
      </c>
      <c r="G23" s="3">
        <f t="shared" si="4"/>
        <v>3090.35</v>
      </c>
    </row>
    <row r="24" spans="1:7" x14ac:dyDescent="0.25">
      <c r="A24" s="3">
        <v>3145.8466666666664</v>
      </c>
      <c r="B24">
        <v>3131.72</v>
      </c>
      <c r="D24">
        <v>3047.91</v>
      </c>
      <c r="E24">
        <f t="shared" si="0"/>
        <v>3089.8149999999996</v>
      </c>
      <c r="F24" s="3">
        <f t="shared" si="3"/>
        <v>3119.8149999999996</v>
      </c>
      <c r="G24" s="3">
        <f t="shared" si="4"/>
        <v>3129.8149999999996</v>
      </c>
    </row>
    <row r="25" spans="1:7" x14ac:dyDescent="0.25">
      <c r="A25" s="3">
        <v>3165.9133333333334</v>
      </c>
      <c r="B25">
        <v>3136.12</v>
      </c>
      <c r="D25">
        <v>3075.81</v>
      </c>
      <c r="E25">
        <f t="shared" si="0"/>
        <v>3105.9650000000001</v>
      </c>
      <c r="F25" s="3">
        <f t="shared" ref="F25:F56" si="5">50+E25</f>
        <v>3155.9650000000001</v>
      </c>
      <c r="G25" s="3">
        <f t="shared" si="4"/>
        <v>3165.9650000000001</v>
      </c>
    </row>
    <row r="26" spans="1:7" x14ac:dyDescent="0.25">
      <c r="A26" s="3">
        <v>3165.4500000000003</v>
      </c>
      <c r="B26">
        <v>3122.33</v>
      </c>
      <c r="D26">
        <v>3082.01</v>
      </c>
      <c r="E26">
        <f t="shared" si="0"/>
        <v>3102.17</v>
      </c>
      <c r="F26" s="3">
        <f t="shared" si="5"/>
        <v>3152.17</v>
      </c>
      <c r="G26" s="3">
        <f t="shared" si="4"/>
        <v>3162.17</v>
      </c>
    </row>
    <row r="27" spans="1:7" x14ac:dyDescent="0.25">
      <c r="A27" s="3">
        <v>3163.7033333333334</v>
      </c>
      <c r="B27">
        <v>3152.37</v>
      </c>
      <c r="D27">
        <v>3064.37</v>
      </c>
      <c r="E27">
        <f t="shared" si="0"/>
        <v>3108.37</v>
      </c>
      <c r="F27" s="3">
        <f t="shared" si="5"/>
        <v>3158.37</v>
      </c>
      <c r="G27" s="3">
        <f t="shared" si="4"/>
        <v>3168.37</v>
      </c>
    </row>
    <row r="28" spans="1:7" x14ac:dyDescent="0.25">
      <c r="A28" s="3">
        <v>3200.64</v>
      </c>
      <c r="B28">
        <v>3198.2</v>
      </c>
      <c r="D28">
        <v>3121.86</v>
      </c>
      <c r="E28">
        <f t="shared" si="0"/>
        <v>3160.0299999999997</v>
      </c>
      <c r="F28" s="3">
        <f t="shared" si="5"/>
        <v>3210.0299999999997</v>
      </c>
      <c r="G28" s="3">
        <f t="shared" si="4"/>
        <v>3220.0299999999997</v>
      </c>
    </row>
    <row r="29" spans="1:7" x14ac:dyDescent="0.25">
      <c r="A29" s="3">
        <v>3426.8833333333332</v>
      </c>
      <c r="B29">
        <v>3387.53</v>
      </c>
      <c r="D29">
        <v>3346.56</v>
      </c>
      <c r="E29">
        <f t="shared" si="0"/>
        <v>3367.0450000000001</v>
      </c>
      <c r="F29" s="3">
        <f t="shared" si="5"/>
        <v>3417.0450000000001</v>
      </c>
      <c r="G29" s="3">
        <f t="shared" si="4"/>
        <v>3427.0450000000001</v>
      </c>
    </row>
    <row r="30" spans="1:7" x14ac:dyDescent="0.25">
      <c r="A30" s="3">
        <v>3515.7266666666669</v>
      </c>
      <c r="B30">
        <v>3461.84</v>
      </c>
      <c r="D30">
        <v>3442.67</v>
      </c>
      <c r="E30">
        <f t="shared" si="0"/>
        <v>3452.2550000000001</v>
      </c>
      <c r="F30" s="3">
        <f t="shared" si="5"/>
        <v>3502.2550000000001</v>
      </c>
      <c r="G30" s="3">
        <f t="shared" si="4"/>
        <v>3512.2550000000001</v>
      </c>
    </row>
    <row r="31" spans="1:7" x14ac:dyDescent="0.25">
      <c r="A31" s="3">
        <v>3541.4466666666667</v>
      </c>
      <c r="B31">
        <v>3472.02</v>
      </c>
      <c r="D31">
        <v>3476.16</v>
      </c>
      <c r="E31">
        <f t="shared" si="0"/>
        <v>3474.09</v>
      </c>
      <c r="F31" s="3">
        <f t="shared" si="5"/>
        <v>3524.09</v>
      </c>
      <c r="G31" s="3">
        <f t="shared" si="4"/>
        <v>3534.09</v>
      </c>
    </row>
    <row r="32" spans="1:7" x14ac:dyDescent="0.25">
      <c r="A32" s="3">
        <v>3581.9266666666663</v>
      </c>
      <c r="B32">
        <v>3525</v>
      </c>
      <c r="D32">
        <v>3510.39</v>
      </c>
      <c r="E32">
        <f t="shared" si="0"/>
        <v>3517.6949999999997</v>
      </c>
      <c r="F32" s="3">
        <f t="shared" si="5"/>
        <v>3567.6949999999997</v>
      </c>
      <c r="G32" s="3">
        <f t="shared" si="4"/>
        <v>3577.6949999999997</v>
      </c>
    </row>
    <row r="33" spans="1:7" x14ac:dyDescent="0.25">
      <c r="A33" s="9">
        <v>3569.4799999999996</v>
      </c>
      <c r="B33" s="7">
        <v>3522</v>
      </c>
      <c r="C33" s="7"/>
      <c r="D33" s="7">
        <v>3493.22</v>
      </c>
      <c r="E33">
        <f t="shared" ref="E33:E64" si="6">AVERAGE(B33:D33)</f>
        <v>3507.6099999999997</v>
      </c>
      <c r="F33" s="3">
        <f t="shared" si="5"/>
        <v>3557.6099999999997</v>
      </c>
      <c r="G33" s="3">
        <f t="shared" si="4"/>
        <v>3567.6099999999997</v>
      </c>
    </row>
    <row r="34" spans="1:7" x14ac:dyDescent="0.25">
      <c r="A34" s="3">
        <v>3509.0666666666671</v>
      </c>
      <c r="B34">
        <v>3474</v>
      </c>
      <c r="D34">
        <v>3426.6</v>
      </c>
      <c r="E34">
        <f t="shared" si="6"/>
        <v>3450.3</v>
      </c>
      <c r="F34" s="3">
        <f t="shared" si="5"/>
        <v>3500.3</v>
      </c>
      <c r="G34" s="3">
        <f t="shared" si="4"/>
        <v>3510.3</v>
      </c>
    </row>
    <row r="35" spans="1:7" x14ac:dyDescent="0.25">
      <c r="A35" s="3">
        <v>3617.1</v>
      </c>
      <c r="B35">
        <v>3553</v>
      </c>
      <c r="D35">
        <v>3537.2</v>
      </c>
      <c r="E35">
        <f t="shared" si="6"/>
        <v>3545.1</v>
      </c>
      <c r="F35" s="3">
        <f t="shared" si="5"/>
        <v>3595.1</v>
      </c>
      <c r="G35" s="3">
        <f t="shared" si="4"/>
        <v>3605.1</v>
      </c>
    </row>
    <row r="36" spans="1:7" x14ac:dyDescent="0.25">
      <c r="A36" s="3">
        <v>3688.7550000000001</v>
      </c>
      <c r="B36">
        <v>3604</v>
      </c>
      <c r="D36">
        <v>3584.51</v>
      </c>
      <c r="E36">
        <f t="shared" si="6"/>
        <v>3594.2550000000001</v>
      </c>
      <c r="F36" s="3">
        <f t="shared" si="5"/>
        <v>3644.2550000000001</v>
      </c>
      <c r="G36" s="3">
        <f t="shared" si="4"/>
        <v>3654.2550000000001</v>
      </c>
    </row>
    <row r="37" spans="1:7" x14ac:dyDescent="0.25">
      <c r="A37" s="3">
        <v>3736.9300000000003</v>
      </c>
      <c r="B37">
        <v>3685</v>
      </c>
      <c r="D37">
        <v>3643.86</v>
      </c>
      <c r="E37">
        <f t="shared" si="6"/>
        <v>3664.4300000000003</v>
      </c>
      <c r="F37" s="3">
        <f t="shared" si="5"/>
        <v>3714.4300000000003</v>
      </c>
      <c r="G37" s="3">
        <f t="shared" si="4"/>
        <v>3724.4300000000003</v>
      </c>
    </row>
    <row r="38" spans="1:7" x14ac:dyDescent="0.25">
      <c r="A38" s="3">
        <v>3762.98</v>
      </c>
      <c r="B38">
        <v>3667</v>
      </c>
      <c r="D38">
        <v>3700.96</v>
      </c>
      <c r="E38">
        <f t="shared" si="6"/>
        <v>3683.98</v>
      </c>
      <c r="F38" s="3">
        <f t="shared" si="5"/>
        <v>3733.98</v>
      </c>
      <c r="G38" s="3">
        <f t="shared" si="4"/>
        <v>3743.98</v>
      </c>
    </row>
    <row r="39" spans="1:7" x14ac:dyDescent="0.25">
      <c r="A39" s="3">
        <v>3775.34</v>
      </c>
      <c r="B39">
        <v>3676</v>
      </c>
      <c r="D39">
        <v>3730.68</v>
      </c>
      <c r="E39">
        <f t="shared" si="6"/>
        <v>3703.34</v>
      </c>
      <c r="F39" s="3">
        <f t="shared" si="5"/>
        <v>3753.34</v>
      </c>
      <c r="G39" s="3">
        <f t="shared" si="4"/>
        <v>3763.34</v>
      </c>
    </row>
    <row r="40" spans="1:7" x14ac:dyDescent="0.25">
      <c r="A40" s="3">
        <v>3750.2799999999997</v>
      </c>
      <c r="B40">
        <v>3630</v>
      </c>
      <c r="D40">
        <v>3678.56</v>
      </c>
      <c r="E40">
        <f t="shared" si="6"/>
        <v>3654.2799999999997</v>
      </c>
      <c r="F40" s="3">
        <f t="shared" si="5"/>
        <v>3704.2799999999997</v>
      </c>
      <c r="G40" s="3">
        <f t="shared" si="4"/>
        <v>3714.2799999999997</v>
      </c>
    </row>
    <row r="41" spans="1:7" x14ac:dyDescent="0.25">
      <c r="A41" s="8">
        <v>3719.58</v>
      </c>
      <c r="B41" s="6">
        <v>3626</v>
      </c>
      <c r="C41" s="6"/>
      <c r="D41" s="6">
        <v>3690.1</v>
      </c>
      <c r="E41">
        <f t="shared" si="6"/>
        <v>3658.05</v>
      </c>
      <c r="F41" s="3">
        <f t="shared" si="5"/>
        <v>3708.05</v>
      </c>
      <c r="G41" s="3">
        <f t="shared" ref="G41:G72" si="7">10+F41</f>
        <v>3718.05</v>
      </c>
    </row>
    <row r="42" spans="1:7" x14ac:dyDescent="0.25">
      <c r="A42" s="3">
        <v>3715.9549999999999</v>
      </c>
      <c r="B42">
        <v>3665</v>
      </c>
      <c r="D42">
        <v>3673.09</v>
      </c>
      <c r="E42">
        <f t="shared" si="6"/>
        <v>3669.0450000000001</v>
      </c>
      <c r="F42" s="3">
        <f t="shared" si="5"/>
        <v>3719.0450000000001</v>
      </c>
      <c r="G42" s="3">
        <f t="shared" si="7"/>
        <v>3729.0450000000001</v>
      </c>
    </row>
    <row r="43" spans="1:7" x14ac:dyDescent="0.25">
      <c r="A43" s="3">
        <v>3748.5699999999997</v>
      </c>
      <c r="B43">
        <v>3680</v>
      </c>
      <c r="D43">
        <v>3705.96</v>
      </c>
      <c r="E43">
        <f t="shared" si="6"/>
        <v>3692.98</v>
      </c>
      <c r="F43" s="3">
        <f t="shared" si="5"/>
        <v>3742.98</v>
      </c>
      <c r="G43" s="3">
        <f t="shared" si="7"/>
        <v>3752.98</v>
      </c>
    </row>
    <row r="44" spans="1:7" x14ac:dyDescent="0.25">
      <c r="A44" s="3">
        <v>3715.31</v>
      </c>
      <c r="B44">
        <v>3665</v>
      </c>
      <c r="D44">
        <v>3645</v>
      </c>
      <c r="E44">
        <f t="shared" si="6"/>
        <v>3655</v>
      </c>
      <c r="F44" s="3">
        <f t="shared" si="5"/>
        <v>3705</v>
      </c>
      <c r="G44" s="3">
        <f t="shared" si="7"/>
        <v>3715</v>
      </c>
    </row>
    <row r="45" spans="1:7" x14ac:dyDescent="0.25">
      <c r="A45" s="3">
        <v>3707.9650000000001</v>
      </c>
      <c r="B45">
        <v>3614</v>
      </c>
      <c r="D45">
        <v>3618.04</v>
      </c>
      <c r="E45">
        <f t="shared" si="6"/>
        <v>3616.02</v>
      </c>
      <c r="F45" s="3">
        <f t="shared" si="5"/>
        <v>3666.02</v>
      </c>
      <c r="G45" s="3">
        <f t="shared" si="7"/>
        <v>3676.02</v>
      </c>
    </row>
    <row r="46" spans="1:7" x14ac:dyDescent="0.25">
      <c r="A46" s="3">
        <v>3620.86</v>
      </c>
      <c r="B46">
        <v>3516</v>
      </c>
      <c r="D46">
        <v>3521.38</v>
      </c>
      <c r="E46">
        <f t="shared" si="6"/>
        <v>3518.69</v>
      </c>
      <c r="F46" s="3">
        <f t="shared" si="5"/>
        <v>3568.69</v>
      </c>
      <c r="G46" s="3">
        <f t="shared" si="7"/>
        <v>3578.69</v>
      </c>
    </row>
    <row r="47" spans="1:7" x14ac:dyDescent="0.25">
      <c r="A47" s="3">
        <v>3562.91</v>
      </c>
      <c r="B47">
        <v>3473.04</v>
      </c>
      <c r="D47">
        <v>3428.65</v>
      </c>
      <c r="E47">
        <f t="shared" si="6"/>
        <v>3450.8450000000003</v>
      </c>
      <c r="F47" s="3">
        <f t="shared" si="5"/>
        <v>3500.8450000000003</v>
      </c>
      <c r="G47" s="3">
        <f t="shared" si="7"/>
        <v>3510.8450000000003</v>
      </c>
    </row>
    <row r="48" spans="1:7" x14ac:dyDescent="0.25">
      <c r="A48" s="3">
        <v>3551.0549999999998</v>
      </c>
      <c r="B48">
        <v>3402.87</v>
      </c>
      <c r="D48">
        <v>3422.87</v>
      </c>
      <c r="E48">
        <f t="shared" si="6"/>
        <v>3412.87</v>
      </c>
      <c r="F48" s="3">
        <f t="shared" si="5"/>
        <v>3462.87</v>
      </c>
      <c r="G48" s="3">
        <f t="shared" si="7"/>
        <v>3472.87</v>
      </c>
    </row>
    <row r="49" spans="1:7" x14ac:dyDescent="0.25">
      <c r="A49" s="3">
        <v>3425.01</v>
      </c>
      <c r="B49">
        <v>3284.47</v>
      </c>
      <c r="D49">
        <v>3268.47</v>
      </c>
      <c r="E49">
        <f t="shared" si="6"/>
        <v>3276.47</v>
      </c>
      <c r="F49" s="3">
        <f t="shared" si="5"/>
        <v>3326.47</v>
      </c>
      <c r="G49" s="3">
        <f t="shared" si="7"/>
        <v>3336.47</v>
      </c>
    </row>
    <row r="50" spans="1:7" x14ac:dyDescent="0.25">
      <c r="A50" s="3">
        <v>3370.2550000000001</v>
      </c>
      <c r="B50">
        <v>3228.24</v>
      </c>
      <c r="D50">
        <v>3197.22</v>
      </c>
      <c r="E50">
        <f t="shared" si="6"/>
        <v>3212.7299999999996</v>
      </c>
      <c r="F50" s="3">
        <f t="shared" si="5"/>
        <v>3262.7299999999996</v>
      </c>
      <c r="G50" s="3">
        <f t="shared" si="7"/>
        <v>3272.7299999999996</v>
      </c>
    </row>
    <row r="51" spans="1:7" x14ac:dyDescent="0.25">
      <c r="A51" s="3">
        <v>3322.9749999999999</v>
      </c>
      <c r="B51">
        <v>3224.72</v>
      </c>
      <c r="D51">
        <v>3114.02</v>
      </c>
      <c r="E51">
        <f t="shared" si="6"/>
        <v>3169.37</v>
      </c>
      <c r="F51" s="3">
        <f t="shared" si="5"/>
        <v>3219.37</v>
      </c>
      <c r="G51" s="3">
        <f t="shared" si="7"/>
        <v>3229.37</v>
      </c>
    </row>
    <row r="52" spans="1:7" x14ac:dyDescent="0.25">
      <c r="A52" s="3">
        <v>3281.6350000000002</v>
      </c>
      <c r="B52">
        <v>3181.23</v>
      </c>
      <c r="D52">
        <v>3083.27</v>
      </c>
      <c r="E52">
        <f t="shared" si="6"/>
        <v>3132.25</v>
      </c>
      <c r="F52" s="3">
        <f t="shared" si="5"/>
        <v>3182.25</v>
      </c>
      <c r="G52" s="3">
        <f t="shared" si="7"/>
        <v>3192.25</v>
      </c>
    </row>
    <row r="53" spans="1:7" x14ac:dyDescent="0.25">
      <c r="A53" s="3">
        <v>3402.84</v>
      </c>
      <c r="B53">
        <v>3379.68</v>
      </c>
      <c r="D53">
        <v>3262.37</v>
      </c>
      <c r="E53">
        <f t="shared" si="6"/>
        <v>3321.0249999999996</v>
      </c>
      <c r="F53" s="3">
        <f t="shared" si="5"/>
        <v>3371.0249999999996</v>
      </c>
      <c r="G53" s="3">
        <f t="shared" si="7"/>
        <v>3381.0249999999996</v>
      </c>
    </row>
    <row r="54" spans="1:7" x14ac:dyDescent="0.25">
      <c r="A54" s="3">
        <v>3408.2749999999996</v>
      </c>
      <c r="B54">
        <v>3409.45</v>
      </c>
      <c r="D54">
        <v>3281.06</v>
      </c>
      <c r="E54">
        <f t="shared" si="6"/>
        <v>3345.2550000000001</v>
      </c>
      <c r="F54" s="3">
        <f t="shared" si="5"/>
        <v>3395.2550000000001</v>
      </c>
      <c r="G54" s="3">
        <f t="shared" si="7"/>
        <v>3405.2550000000001</v>
      </c>
    </row>
    <row r="55" spans="1:7" x14ac:dyDescent="0.25">
      <c r="A55" s="3">
        <v>3401.645</v>
      </c>
      <c r="B55">
        <v>3332.48</v>
      </c>
      <c r="D55">
        <v>3308.92</v>
      </c>
      <c r="E55">
        <f t="shared" si="6"/>
        <v>3320.7</v>
      </c>
      <c r="F55" s="3">
        <f t="shared" si="5"/>
        <v>3370.7</v>
      </c>
      <c r="G55" s="3">
        <f t="shared" si="7"/>
        <v>3380.7</v>
      </c>
    </row>
    <row r="56" spans="1:7" x14ac:dyDescent="0.25">
      <c r="A56" s="3">
        <v>3366.4449999999997</v>
      </c>
      <c r="B56">
        <v>3223.82</v>
      </c>
      <c r="D56">
        <v>3286.62</v>
      </c>
      <c r="E56">
        <f t="shared" si="6"/>
        <v>3255.2200000000003</v>
      </c>
      <c r="F56" s="3">
        <f t="shared" si="5"/>
        <v>3305.2200000000003</v>
      </c>
      <c r="G56" s="3">
        <f t="shared" si="7"/>
        <v>3315.2200000000003</v>
      </c>
    </row>
    <row r="57" spans="1:7" x14ac:dyDescent="0.25">
      <c r="A57" s="3">
        <v>3343.4949999999999</v>
      </c>
      <c r="B57">
        <v>3188.08</v>
      </c>
      <c r="D57">
        <v>3256.54</v>
      </c>
      <c r="E57">
        <f t="shared" si="6"/>
        <v>3222.31</v>
      </c>
      <c r="F57" s="3">
        <f t="shared" ref="F57:F88" si="8">50+E57</f>
        <v>3272.31</v>
      </c>
      <c r="G57" s="3">
        <f t="shared" si="7"/>
        <v>3282.31</v>
      </c>
    </row>
    <row r="58" spans="1:7" x14ac:dyDescent="0.25">
      <c r="A58" s="3">
        <v>3300.8549999999996</v>
      </c>
      <c r="B58">
        <v>3192.49</v>
      </c>
      <c r="D58">
        <v>3241.99</v>
      </c>
      <c r="E58">
        <f t="shared" si="6"/>
        <v>3217.24</v>
      </c>
      <c r="F58" s="3">
        <f t="shared" si="8"/>
        <v>3267.24</v>
      </c>
      <c r="G58" s="3">
        <f t="shared" si="7"/>
        <v>3277.24</v>
      </c>
    </row>
    <row r="59" spans="1:7" x14ac:dyDescent="0.25">
      <c r="A59" s="3">
        <v>3273.3900000000003</v>
      </c>
      <c r="B59">
        <v>3144.18</v>
      </c>
      <c r="D59">
        <v>3229.98</v>
      </c>
      <c r="E59">
        <f t="shared" si="6"/>
        <v>3187.08</v>
      </c>
      <c r="F59" s="3">
        <f t="shared" si="8"/>
        <v>3237.08</v>
      </c>
      <c r="G59" s="3">
        <f t="shared" si="7"/>
        <v>3247.08</v>
      </c>
    </row>
    <row r="60" spans="1:7" x14ac:dyDescent="0.25">
      <c r="A60" s="3">
        <v>3278.2849999999999</v>
      </c>
      <c r="B60">
        <v>3181.63</v>
      </c>
      <c r="D60">
        <v>3219.9</v>
      </c>
      <c r="E60">
        <f t="shared" si="6"/>
        <v>3200.7650000000003</v>
      </c>
      <c r="F60" s="3">
        <f t="shared" si="8"/>
        <v>3250.7650000000003</v>
      </c>
      <c r="G60" s="3">
        <f t="shared" si="7"/>
        <v>3260.7650000000003</v>
      </c>
    </row>
    <row r="61" spans="1:7" x14ac:dyDescent="0.25">
      <c r="A61" s="3">
        <v>3277.72</v>
      </c>
      <c r="B61">
        <v>3176.15</v>
      </c>
      <c r="D61">
        <v>3224.49</v>
      </c>
      <c r="E61">
        <f t="shared" si="6"/>
        <v>3200.3199999999997</v>
      </c>
      <c r="F61" s="3">
        <f t="shared" si="8"/>
        <v>3250.3199999999997</v>
      </c>
      <c r="G61" s="3">
        <f t="shared" si="7"/>
        <v>3260.3199999999997</v>
      </c>
    </row>
    <row r="62" spans="1:7" x14ac:dyDescent="0.25">
      <c r="A62" s="3">
        <v>3254.8850000000002</v>
      </c>
      <c r="B62">
        <v>3194.12</v>
      </c>
      <c r="D62">
        <v>3218.97</v>
      </c>
      <c r="E62">
        <f t="shared" si="6"/>
        <v>3206.5450000000001</v>
      </c>
      <c r="F62" s="3">
        <f t="shared" si="8"/>
        <v>3256.5450000000001</v>
      </c>
      <c r="G62" s="3">
        <f t="shared" si="7"/>
        <v>3266.5450000000001</v>
      </c>
    </row>
    <row r="63" spans="1:7" x14ac:dyDescent="0.25">
      <c r="A63" s="3">
        <v>3230.9849999999997</v>
      </c>
      <c r="B63">
        <v>3171</v>
      </c>
      <c r="D63">
        <v>3170.45</v>
      </c>
      <c r="E63">
        <f t="shared" si="6"/>
        <v>3170.7249999999999</v>
      </c>
      <c r="F63" s="3">
        <f t="shared" si="8"/>
        <v>3220.7249999999999</v>
      </c>
      <c r="G63" s="3">
        <f t="shared" si="7"/>
        <v>3230.7249999999999</v>
      </c>
    </row>
    <row r="64" spans="1:7" x14ac:dyDescent="0.25">
      <c r="A64" s="3">
        <v>3236.45</v>
      </c>
      <c r="B64">
        <v>3192</v>
      </c>
      <c r="D64">
        <v>3160.74</v>
      </c>
      <c r="E64">
        <f t="shared" si="6"/>
        <v>3176.37</v>
      </c>
      <c r="F64" s="3">
        <f t="shared" si="8"/>
        <v>3226.37</v>
      </c>
      <c r="G64" s="3">
        <f t="shared" si="7"/>
        <v>3236.37</v>
      </c>
    </row>
    <row r="65" spans="1:7" x14ac:dyDescent="0.25">
      <c r="A65" s="3">
        <v>3231.895</v>
      </c>
      <c r="B65">
        <v>3192</v>
      </c>
      <c r="D65">
        <v>3162.85</v>
      </c>
      <c r="E65">
        <f t="shared" ref="E65:E96" si="9">AVERAGE(B65:D65)</f>
        <v>3177.4250000000002</v>
      </c>
      <c r="F65" s="3">
        <f t="shared" si="8"/>
        <v>3227.4250000000002</v>
      </c>
      <c r="G65" s="3">
        <f t="shared" si="7"/>
        <v>3237.4250000000002</v>
      </c>
    </row>
    <row r="66" spans="1:7" x14ac:dyDescent="0.25">
      <c r="A66" s="3">
        <v>3215.8</v>
      </c>
      <c r="B66">
        <v>3178</v>
      </c>
      <c r="D66">
        <v>3165</v>
      </c>
      <c r="E66">
        <f t="shared" si="9"/>
        <v>3171.5</v>
      </c>
      <c r="F66" s="3">
        <f t="shared" si="8"/>
        <v>3221.5</v>
      </c>
      <c r="G66" s="3">
        <f t="shared" si="7"/>
        <v>3231.5</v>
      </c>
    </row>
    <row r="67" spans="1:7" x14ac:dyDescent="0.25">
      <c r="A67" s="3">
        <v>3227.85</v>
      </c>
      <c r="B67">
        <v>3188</v>
      </c>
      <c r="D67">
        <v>3192</v>
      </c>
      <c r="E67">
        <f t="shared" si="9"/>
        <v>3190</v>
      </c>
      <c r="F67" s="3">
        <f t="shared" si="8"/>
        <v>3240</v>
      </c>
      <c r="G67" s="3">
        <f t="shared" si="7"/>
        <v>3250</v>
      </c>
    </row>
    <row r="68" spans="1:7" x14ac:dyDescent="0.25">
      <c r="A68" s="3">
        <v>3280.0250000000001</v>
      </c>
      <c r="B68">
        <v>3233</v>
      </c>
      <c r="D68">
        <v>3219</v>
      </c>
      <c r="E68">
        <f t="shared" si="9"/>
        <v>3226</v>
      </c>
      <c r="F68" s="3">
        <f t="shared" si="8"/>
        <v>3276</v>
      </c>
      <c r="G68" s="3">
        <f t="shared" si="7"/>
        <v>3286</v>
      </c>
    </row>
    <row r="69" spans="1:7" x14ac:dyDescent="0.25">
      <c r="A69" s="3">
        <v>3341.6824999999999</v>
      </c>
      <c r="B69">
        <v>3348</v>
      </c>
      <c r="D69">
        <v>3280.52</v>
      </c>
      <c r="E69">
        <f t="shared" si="9"/>
        <v>3314.26</v>
      </c>
      <c r="F69" s="3">
        <f t="shared" si="8"/>
        <v>3364.26</v>
      </c>
      <c r="G69" s="3">
        <f t="shared" si="7"/>
        <v>3374.26</v>
      </c>
    </row>
    <row r="70" spans="1:7" x14ac:dyDescent="0.25">
      <c r="A70" s="3">
        <v>3352.49</v>
      </c>
      <c r="B70">
        <v>3339</v>
      </c>
      <c r="D70">
        <v>3323.03</v>
      </c>
      <c r="E70">
        <f t="shared" si="9"/>
        <v>3331.0150000000003</v>
      </c>
      <c r="F70" s="3">
        <f t="shared" si="8"/>
        <v>3381.0150000000003</v>
      </c>
      <c r="G70" s="3">
        <f t="shared" si="7"/>
        <v>3391.0150000000003</v>
      </c>
    </row>
    <row r="71" spans="1:7" x14ac:dyDescent="0.25">
      <c r="A71" s="3">
        <v>3360.48</v>
      </c>
      <c r="B71">
        <v>3380</v>
      </c>
      <c r="D71">
        <v>3352.34</v>
      </c>
      <c r="E71">
        <f t="shared" si="9"/>
        <v>3366.17</v>
      </c>
      <c r="F71" s="3">
        <f t="shared" si="8"/>
        <v>3416.17</v>
      </c>
      <c r="G71" s="3">
        <f t="shared" si="7"/>
        <v>3426.17</v>
      </c>
    </row>
    <row r="72" spans="1:7" x14ac:dyDescent="0.25">
      <c r="A72" s="9">
        <v>3369.0450000000001</v>
      </c>
      <c r="B72" s="7">
        <v>3375</v>
      </c>
      <c r="C72" s="7"/>
      <c r="D72" s="7">
        <v>3332.26</v>
      </c>
      <c r="E72">
        <f t="shared" si="9"/>
        <v>3353.63</v>
      </c>
      <c r="F72" s="3">
        <f t="shared" si="8"/>
        <v>3403.63</v>
      </c>
      <c r="G72" s="3">
        <f t="shared" si="7"/>
        <v>3413.63</v>
      </c>
    </row>
    <row r="73" spans="1:7" x14ac:dyDescent="0.25">
      <c r="A73" s="8">
        <v>3341.3</v>
      </c>
      <c r="B73" s="6">
        <v>3262</v>
      </c>
      <c r="C73" s="6"/>
      <c r="D73" s="6">
        <v>3292.68</v>
      </c>
      <c r="E73">
        <f t="shared" si="9"/>
        <v>3277.34</v>
      </c>
      <c r="F73" s="3">
        <f t="shared" si="8"/>
        <v>3327.34</v>
      </c>
      <c r="G73" s="3">
        <f t="shared" ref="G73:G96" si="10">10+F73</f>
        <v>3337.34</v>
      </c>
    </row>
    <row r="74" spans="1:7" x14ac:dyDescent="0.25">
      <c r="A74" s="3">
        <v>3162.31</v>
      </c>
      <c r="B74">
        <v>3125</v>
      </c>
      <c r="D74">
        <v>3115.79</v>
      </c>
      <c r="E74">
        <f t="shared" si="9"/>
        <v>3120.395</v>
      </c>
      <c r="F74" s="3">
        <f t="shared" si="8"/>
        <v>3170.395</v>
      </c>
      <c r="G74" s="3">
        <f t="shared" si="10"/>
        <v>3180.395</v>
      </c>
    </row>
    <row r="75" spans="1:7" x14ac:dyDescent="0.25">
      <c r="A75" s="3">
        <v>3097.6550000000002</v>
      </c>
      <c r="B75">
        <v>3111</v>
      </c>
      <c r="D75">
        <v>3075.76</v>
      </c>
      <c r="E75">
        <f t="shared" si="9"/>
        <v>3093.38</v>
      </c>
      <c r="F75" s="3">
        <f t="shared" si="8"/>
        <v>3143.38</v>
      </c>
      <c r="G75" s="3">
        <f t="shared" si="10"/>
        <v>3153.38</v>
      </c>
    </row>
    <row r="76" spans="1:7" x14ac:dyDescent="0.25">
      <c r="A76" s="3">
        <v>2962.24</v>
      </c>
      <c r="B76">
        <v>2927</v>
      </c>
      <c r="D76">
        <v>2909.18</v>
      </c>
      <c r="E76">
        <f t="shared" si="9"/>
        <v>2918.09</v>
      </c>
      <c r="F76" s="3">
        <f t="shared" si="8"/>
        <v>2968.09</v>
      </c>
      <c r="G76" s="3">
        <f t="shared" si="10"/>
        <v>2978.09</v>
      </c>
    </row>
    <row r="77" spans="1:7" x14ac:dyDescent="0.25">
      <c r="A77" s="3">
        <v>2965.625</v>
      </c>
      <c r="B77">
        <v>2962</v>
      </c>
      <c r="D77">
        <v>2912.88</v>
      </c>
      <c r="E77">
        <f t="shared" si="9"/>
        <v>2937.44</v>
      </c>
      <c r="F77" s="3">
        <f t="shared" si="8"/>
        <v>2987.44</v>
      </c>
      <c r="G77" s="3">
        <f t="shared" si="10"/>
        <v>2997.44</v>
      </c>
    </row>
    <row r="78" spans="1:7" x14ac:dyDescent="0.25">
      <c r="A78" s="3">
        <v>2938.875</v>
      </c>
      <c r="B78">
        <v>2974</v>
      </c>
      <c r="D78">
        <v>2888.23</v>
      </c>
      <c r="E78">
        <f t="shared" si="9"/>
        <v>2931.1149999999998</v>
      </c>
      <c r="F78" s="3">
        <f t="shared" si="8"/>
        <v>2981.1149999999998</v>
      </c>
      <c r="G78" s="3">
        <f t="shared" si="10"/>
        <v>2991.1149999999998</v>
      </c>
    </row>
    <row r="79" spans="1:7" x14ac:dyDescent="0.25">
      <c r="A79" s="3">
        <v>2949.12</v>
      </c>
      <c r="B79">
        <v>2977</v>
      </c>
      <c r="D79">
        <v>2876.78</v>
      </c>
      <c r="E79">
        <f t="shared" si="9"/>
        <v>2926.8900000000003</v>
      </c>
      <c r="F79" s="3">
        <f t="shared" si="8"/>
        <v>2976.8900000000003</v>
      </c>
      <c r="G79" s="3">
        <f t="shared" si="10"/>
        <v>2986.8900000000003</v>
      </c>
    </row>
    <row r="80" spans="1:7" x14ac:dyDescent="0.25">
      <c r="A80" s="3">
        <v>2942.3050000000003</v>
      </c>
      <c r="B80">
        <v>2928</v>
      </c>
      <c r="D80">
        <v>2886.82</v>
      </c>
      <c r="E80">
        <f t="shared" si="9"/>
        <v>2907.41</v>
      </c>
      <c r="F80" s="3">
        <f t="shared" si="8"/>
        <v>2957.41</v>
      </c>
      <c r="G80" s="3">
        <f t="shared" si="10"/>
        <v>2967.41</v>
      </c>
    </row>
    <row r="81" spans="1:7" x14ac:dyDescent="0.25">
      <c r="A81" s="3">
        <v>2896.5249999999996</v>
      </c>
      <c r="B81">
        <v>2892</v>
      </c>
      <c r="D81">
        <v>2872.39</v>
      </c>
      <c r="E81">
        <f t="shared" si="9"/>
        <v>2882.1949999999997</v>
      </c>
      <c r="F81" s="3">
        <f t="shared" si="8"/>
        <v>2932.1949999999997</v>
      </c>
      <c r="G81" s="3">
        <f t="shared" si="10"/>
        <v>2942.1949999999997</v>
      </c>
    </row>
    <row r="82" spans="1:7" x14ac:dyDescent="0.25">
      <c r="A82" s="3">
        <v>2871.105</v>
      </c>
      <c r="B82">
        <v>2830</v>
      </c>
      <c r="D82">
        <v>2854.42</v>
      </c>
      <c r="E82">
        <f t="shared" si="9"/>
        <v>2842.21</v>
      </c>
      <c r="F82" s="3">
        <f t="shared" si="8"/>
        <v>2892.21</v>
      </c>
      <c r="G82" s="3">
        <f t="shared" si="10"/>
        <v>2902.21</v>
      </c>
    </row>
    <row r="83" spans="1:7" x14ac:dyDescent="0.25">
      <c r="A83" s="3">
        <v>2825.7524999999996</v>
      </c>
      <c r="B83">
        <v>2782</v>
      </c>
      <c r="D83">
        <v>2831.56</v>
      </c>
      <c r="E83">
        <f t="shared" si="9"/>
        <v>2806.7799999999997</v>
      </c>
      <c r="F83" s="3">
        <f t="shared" si="8"/>
        <v>2856.7799999999997</v>
      </c>
      <c r="G83" s="3">
        <f t="shared" si="10"/>
        <v>2866.7799999999997</v>
      </c>
    </row>
    <row r="84" spans="1:7" x14ac:dyDescent="0.25">
      <c r="A84" s="3">
        <v>2814.9250000000002</v>
      </c>
      <c r="B84">
        <v>2759</v>
      </c>
      <c r="D84">
        <v>2819.13</v>
      </c>
      <c r="E84">
        <f t="shared" si="9"/>
        <v>2789.0650000000001</v>
      </c>
      <c r="F84" s="3">
        <f t="shared" si="8"/>
        <v>2839.0650000000001</v>
      </c>
      <c r="G84" s="3">
        <f t="shared" si="10"/>
        <v>2849.0650000000001</v>
      </c>
    </row>
    <row r="85" spans="1:7" x14ac:dyDescent="0.25">
      <c r="A85" s="3">
        <v>2790.8950000000004</v>
      </c>
      <c r="B85">
        <v>2740</v>
      </c>
      <c r="D85">
        <v>2783.53</v>
      </c>
      <c r="E85">
        <f t="shared" si="9"/>
        <v>2761.7650000000003</v>
      </c>
      <c r="F85" s="3">
        <f t="shared" si="8"/>
        <v>2811.7650000000003</v>
      </c>
      <c r="G85" s="3">
        <f t="shared" si="10"/>
        <v>2821.7650000000003</v>
      </c>
    </row>
    <row r="86" spans="1:7" x14ac:dyDescent="0.25">
      <c r="A86" s="3">
        <v>2767.35</v>
      </c>
      <c r="B86">
        <v>2721.73</v>
      </c>
      <c r="D86">
        <v>2761</v>
      </c>
      <c r="E86">
        <f t="shared" si="9"/>
        <v>2741.3649999999998</v>
      </c>
      <c r="F86" s="3">
        <f t="shared" si="8"/>
        <v>2791.3649999999998</v>
      </c>
      <c r="G86" s="3">
        <f t="shared" si="10"/>
        <v>2801.3649999999998</v>
      </c>
    </row>
    <row r="87" spans="1:7" x14ac:dyDescent="0.25">
      <c r="A87" s="3">
        <v>2751.855</v>
      </c>
      <c r="B87">
        <v>2709.65</v>
      </c>
      <c r="D87">
        <v>2754</v>
      </c>
      <c r="E87">
        <f t="shared" si="9"/>
        <v>2731.8249999999998</v>
      </c>
      <c r="F87" s="3">
        <f t="shared" si="8"/>
        <v>2781.8249999999998</v>
      </c>
      <c r="G87" s="3">
        <f t="shared" si="10"/>
        <v>2791.8249999999998</v>
      </c>
    </row>
    <row r="88" spans="1:7" x14ac:dyDescent="0.25">
      <c r="A88" s="8">
        <v>2727.9</v>
      </c>
      <c r="B88" s="6">
        <v>2679.7</v>
      </c>
      <c r="C88" s="6"/>
      <c r="D88" s="6">
        <v>2720</v>
      </c>
      <c r="E88">
        <f t="shared" si="9"/>
        <v>2699.85</v>
      </c>
      <c r="F88" s="3">
        <f t="shared" si="8"/>
        <v>2749.85</v>
      </c>
      <c r="G88" s="3">
        <f t="shared" si="10"/>
        <v>2759.85</v>
      </c>
    </row>
    <row r="89" spans="1:7" x14ac:dyDescent="0.25">
      <c r="A89" s="3">
        <v>2736.9700000000003</v>
      </c>
      <c r="B89">
        <v>2690.31</v>
      </c>
      <c r="D89">
        <v>2714.43</v>
      </c>
      <c r="E89">
        <f t="shared" si="9"/>
        <v>2702.37</v>
      </c>
      <c r="F89" s="3">
        <f t="shared" ref="F89:F96" si="11">50+E89</f>
        <v>2752.37</v>
      </c>
      <c r="G89" s="3">
        <f t="shared" si="10"/>
        <v>2762.37</v>
      </c>
    </row>
    <row r="90" spans="1:7" x14ac:dyDescent="0.25">
      <c r="A90" s="3">
        <v>2901.1149999999998</v>
      </c>
      <c r="B90">
        <v>2925.67</v>
      </c>
      <c r="D90">
        <v>2869.1</v>
      </c>
      <c r="E90">
        <f t="shared" si="9"/>
        <v>2897.3850000000002</v>
      </c>
      <c r="F90" s="3">
        <f t="shared" si="11"/>
        <v>2947.3850000000002</v>
      </c>
      <c r="G90" s="3">
        <f t="shared" si="10"/>
        <v>2957.3850000000002</v>
      </c>
    </row>
    <row r="91" spans="1:7" x14ac:dyDescent="0.25">
      <c r="A91" s="3">
        <v>3090.125</v>
      </c>
      <c r="B91">
        <v>3133.88</v>
      </c>
      <c r="D91">
        <v>3067.79</v>
      </c>
      <c r="E91">
        <f t="shared" si="9"/>
        <v>3100.835</v>
      </c>
      <c r="F91" s="3">
        <f t="shared" si="11"/>
        <v>3150.835</v>
      </c>
      <c r="G91" s="3">
        <f t="shared" si="10"/>
        <v>3160.835</v>
      </c>
    </row>
    <row r="92" spans="1:7" x14ac:dyDescent="0.25">
      <c r="A92" s="3">
        <v>3254.81</v>
      </c>
      <c r="B92">
        <v>3266.51</v>
      </c>
      <c r="D92">
        <v>3229.67</v>
      </c>
      <c r="E92">
        <f t="shared" si="9"/>
        <v>3248.09</v>
      </c>
      <c r="F92" s="3">
        <f t="shared" si="11"/>
        <v>3298.09</v>
      </c>
      <c r="G92" s="3">
        <f t="shared" si="10"/>
        <v>3308.09</v>
      </c>
    </row>
    <row r="93" spans="1:7" x14ac:dyDescent="0.25">
      <c r="A93" s="3">
        <v>3388.74</v>
      </c>
      <c r="B93">
        <v>3388.97</v>
      </c>
      <c r="D93">
        <v>3371.34</v>
      </c>
      <c r="E93">
        <f t="shared" si="9"/>
        <v>3380.1549999999997</v>
      </c>
      <c r="F93" s="3">
        <f t="shared" si="11"/>
        <v>3430.1549999999997</v>
      </c>
      <c r="G93" s="3">
        <f t="shared" si="10"/>
        <v>3440.1549999999997</v>
      </c>
    </row>
    <row r="94" spans="1:7" x14ac:dyDescent="0.25">
      <c r="A94" s="3">
        <v>3389.6549999999997</v>
      </c>
      <c r="B94">
        <v>3395.48</v>
      </c>
      <c r="D94">
        <v>3385.94</v>
      </c>
      <c r="E94">
        <f t="shared" si="9"/>
        <v>3390.71</v>
      </c>
      <c r="F94" s="3">
        <f t="shared" si="11"/>
        <v>3440.71</v>
      </c>
      <c r="G94" s="3">
        <f t="shared" si="10"/>
        <v>3450.71</v>
      </c>
    </row>
    <row r="95" spans="1:7" x14ac:dyDescent="0.25">
      <c r="A95" s="3">
        <v>3381.6000000000004</v>
      </c>
      <c r="B95">
        <v>3390.94</v>
      </c>
      <c r="D95">
        <v>3365.59</v>
      </c>
      <c r="E95">
        <f t="shared" si="9"/>
        <v>3378.2650000000003</v>
      </c>
      <c r="F95" s="3">
        <f t="shared" si="11"/>
        <v>3428.2650000000003</v>
      </c>
      <c r="G95" s="3">
        <f t="shared" si="10"/>
        <v>3438.2650000000003</v>
      </c>
    </row>
    <row r="96" spans="1:7" x14ac:dyDescent="0.25">
      <c r="A96" s="3">
        <v>3373.415</v>
      </c>
      <c r="B96">
        <v>3364.05</v>
      </c>
      <c r="D96">
        <v>3368.17</v>
      </c>
      <c r="E96">
        <f t="shared" si="9"/>
        <v>3366.11</v>
      </c>
      <c r="F96" s="3">
        <f t="shared" si="11"/>
        <v>3416.11</v>
      </c>
      <c r="G96" s="3">
        <f t="shared" si="10"/>
        <v>3426.11</v>
      </c>
    </row>
    <row r="97" spans="5:7" x14ac:dyDescent="0.25">
      <c r="E97" s="3">
        <f>AVERAGE(E1:E96)*0.24</f>
        <v>766.59687916666724</v>
      </c>
      <c r="F97" s="3">
        <f>AVERAGE(F1:F96)*0.24</f>
        <v>777.79687916666717</v>
      </c>
      <c r="G97" s="3">
        <f>AVERAGE(G1:G96)*0.24</f>
        <v>780.39687916666719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49" workbookViewId="0">
      <selection activeCell="H3" sqref="H3"/>
    </sheetView>
  </sheetViews>
  <sheetFormatPr defaultRowHeight="15" x14ac:dyDescent="0.25"/>
  <sheetData>
    <row r="1" spans="1:7" x14ac:dyDescent="0.25">
      <c r="A1" s="10"/>
      <c r="B1" s="10" t="s">
        <v>8</v>
      </c>
      <c r="C1" s="11">
        <v>43057</v>
      </c>
      <c r="D1" s="11">
        <v>43056</v>
      </c>
      <c r="E1" s="11">
        <v>43055</v>
      </c>
      <c r="F1" s="10" t="s">
        <v>9</v>
      </c>
      <c r="G1" s="10" t="s">
        <v>10</v>
      </c>
    </row>
    <row r="2" spans="1:7" x14ac:dyDescent="0.25">
      <c r="A2" s="10">
        <v>3366</v>
      </c>
      <c r="B2" s="10">
        <v>3350.9010000000003</v>
      </c>
      <c r="C2" s="10">
        <v>3342</v>
      </c>
      <c r="D2" s="10">
        <v>3323.6</v>
      </c>
      <c r="E2" s="10">
        <v>3334.06</v>
      </c>
      <c r="F2" s="10">
        <v>3342</v>
      </c>
      <c r="G2" s="10">
        <v>3350</v>
      </c>
    </row>
    <row r="3" spans="1:7" x14ac:dyDescent="0.25">
      <c r="A3" s="10">
        <v>3297</v>
      </c>
      <c r="B3" s="10">
        <v>3312.4376500000003</v>
      </c>
      <c r="C3" s="10">
        <v>3283</v>
      </c>
      <c r="D3" s="10">
        <v>3287.18</v>
      </c>
      <c r="E3" s="10">
        <v>3286.9</v>
      </c>
      <c r="F3" s="10">
        <v>3287.18</v>
      </c>
      <c r="G3" s="12">
        <v>3295.18</v>
      </c>
    </row>
    <row r="4" spans="1:7" x14ac:dyDescent="0.25">
      <c r="A4" s="10">
        <v>3284</v>
      </c>
      <c r="B4" s="10">
        <v>3275.7355000000002</v>
      </c>
      <c r="C4" s="10">
        <v>3255</v>
      </c>
      <c r="D4" s="10">
        <v>3266.15</v>
      </c>
      <c r="E4" s="10">
        <v>3264.14</v>
      </c>
      <c r="F4" s="10">
        <v>3266.15</v>
      </c>
      <c r="G4" s="12">
        <v>3274.15</v>
      </c>
    </row>
    <row r="5" spans="1:7" x14ac:dyDescent="0.25">
      <c r="A5" s="10">
        <v>3260</v>
      </c>
      <c r="B5" s="10">
        <v>3257.8421499999999</v>
      </c>
      <c r="C5" s="10">
        <v>3263</v>
      </c>
      <c r="D5" s="10">
        <v>3254.06</v>
      </c>
      <c r="E5" s="10">
        <v>3224.23</v>
      </c>
      <c r="F5" s="10">
        <v>3263</v>
      </c>
      <c r="G5" s="12">
        <v>3271</v>
      </c>
    </row>
    <row r="6" spans="1:7" x14ac:dyDescent="0.25">
      <c r="A6" s="10">
        <v>3241</v>
      </c>
      <c r="B6" s="10">
        <v>3226.75765</v>
      </c>
      <c r="C6" s="10">
        <v>3174</v>
      </c>
      <c r="D6" s="10">
        <v>3221.28</v>
      </c>
      <c r="E6" s="10">
        <v>3192.41</v>
      </c>
      <c r="F6" s="10">
        <v>3221.28</v>
      </c>
      <c r="G6" s="12">
        <v>3229.28</v>
      </c>
    </row>
    <row r="7" spans="1:7" x14ac:dyDescent="0.25">
      <c r="A7" s="10">
        <v>3207</v>
      </c>
      <c r="B7" s="10">
        <v>3202.8692500000002</v>
      </c>
      <c r="C7" s="10">
        <v>3199</v>
      </c>
      <c r="D7" s="10">
        <v>3187.49</v>
      </c>
      <c r="E7" s="10">
        <v>3183.29</v>
      </c>
      <c r="F7" s="10">
        <v>3199</v>
      </c>
      <c r="G7" s="12">
        <v>3207</v>
      </c>
    </row>
    <row r="8" spans="1:7" x14ac:dyDescent="0.25">
      <c r="A8" s="10">
        <v>3189</v>
      </c>
      <c r="B8" s="10">
        <v>3174.2302</v>
      </c>
      <c r="C8" s="10">
        <v>3219</v>
      </c>
      <c r="D8" s="10">
        <v>3146.48</v>
      </c>
      <c r="E8" s="10">
        <v>3172.23</v>
      </c>
      <c r="F8" s="10">
        <v>3219</v>
      </c>
      <c r="G8" s="12">
        <v>3227</v>
      </c>
    </row>
    <row r="9" spans="1:7" x14ac:dyDescent="0.25">
      <c r="A9" s="10">
        <v>3146</v>
      </c>
      <c r="B9" s="10">
        <v>3184.6363500000002</v>
      </c>
      <c r="C9" s="10">
        <v>3173</v>
      </c>
      <c r="D9" s="10">
        <v>3106.98</v>
      </c>
      <c r="E9" s="10">
        <v>3125.01</v>
      </c>
      <c r="F9" s="10">
        <v>3173</v>
      </c>
      <c r="G9" s="12">
        <v>3181</v>
      </c>
    </row>
    <row r="10" spans="1:7" x14ac:dyDescent="0.25">
      <c r="A10" s="10">
        <v>3075</v>
      </c>
      <c r="B10" s="10">
        <v>3123.5230500000002</v>
      </c>
      <c r="C10" s="10">
        <v>3105</v>
      </c>
      <c r="D10" s="10">
        <v>3040.86</v>
      </c>
      <c r="E10" s="10">
        <v>3067.38</v>
      </c>
      <c r="F10" s="10">
        <v>3105</v>
      </c>
      <c r="G10" s="12">
        <v>3113</v>
      </c>
    </row>
    <row r="11" spans="1:7" x14ac:dyDescent="0.25">
      <c r="A11" s="10">
        <v>3015</v>
      </c>
      <c r="B11" s="10">
        <v>3060.86445</v>
      </c>
      <c r="C11" s="10">
        <v>3009</v>
      </c>
      <c r="D11" s="10">
        <v>2978.26</v>
      </c>
      <c r="E11" s="10">
        <v>3002.02</v>
      </c>
      <c r="F11" s="10">
        <v>3009</v>
      </c>
      <c r="G11" s="12">
        <v>3017</v>
      </c>
    </row>
    <row r="12" spans="1:7" x14ac:dyDescent="0.25">
      <c r="A12" s="10">
        <v>2990</v>
      </c>
      <c r="B12" s="10">
        <v>3018.0983999999999</v>
      </c>
      <c r="C12" s="10">
        <v>2995</v>
      </c>
      <c r="D12" s="10">
        <v>2955.24</v>
      </c>
      <c r="E12" s="10">
        <v>2982.62</v>
      </c>
      <c r="F12" s="10">
        <v>2995</v>
      </c>
      <c r="G12" s="12">
        <v>3003</v>
      </c>
    </row>
    <row r="13" spans="1:7" x14ac:dyDescent="0.25">
      <c r="A13" s="10">
        <v>2951</v>
      </c>
      <c r="B13" s="10">
        <v>2993.5648500000002</v>
      </c>
      <c r="C13" s="10">
        <v>2769</v>
      </c>
      <c r="D13" s="10">
        <v>2939.3</v>
      </c>
      <c r="E13" s="10">
        <v>2931.22</v>
      </c>
      <c r="F13" s="10">
        <v>2939.3</v>
      </c>
      <c r="G13" s="12">
        <v>2947.3</v>
      </c>
    </row>
    <row r="14" spans="1:7" x14ac:dyDescent="0.25">
      <c r="A14" s="10">
        <v>3024</v>
      </c>
      <c r="B14" s="10">
        <v>3010.3285500000002</v>
      </c>
      <c r="C14" s="10">
        <v>3043</v>
      </c>
      <c r="D14" s="10">
        <v>2872.53</v>
      </c>
      <c r="E14" s="10">
        <v>3030.29</v>
      </c>
      <c r="F14" s="10">
        <v>3043</v>
      </c>
      <c r="G14" s="12">
        <v>3051</v>
      </c>
    </row>
    <row r="15" spans="1:7" x14ac:dyDescent="0.25">
      <c r="A15" s="10">
        <v>3027</v>
      </c>
      <c r="B15" s="10">
        <v>3055.0223999999998</v>
      </c>
      <c r="C15" s="10">
        <v>3059</v>
      </c>
      <c r="D15" s="10">
        <v>2990.14</v>
      </c>
      <c r="E15" s="10">
        <v>3022.07</v>
      </c>
      <c r="F15" s="10">
        <v>3059</v>
      </c>
      <c r="G15" s="12">
        <v>3067</v>
      </c>
    </row>
    <row r="16" spans="1:7" x14ac:dyDescent="0.25">
      <c r="A16" s="10">
        <v>3017</v>
      </c>
      <c r="B16" s="10">
        <v>3053.08185</v>
      </c>
      <c r="C16" s="10">
        <v>3070</v>
      </c>
      <c r="D16" s="10">
        <v>2994.19</v>
      </c>
      <c r="E16" s="10">
        <v>3010.16</v>
      </c>
      <c r="F16" s="10">
        <v>3070</v>
      </c>
      <c r="G16" s="12">
        <v>3078</v>
      </c>
    </row>
    <row r="17" spans="1:7" x14ac:dyDescent="0.25">
      <c r="A17" s="10">
        <v>3022</v>
      </c>
      <c r="B17" s="10">
        <v>3057.0853500000003</v>
      </c>
      <c r="C17" s="10">
        <v>3079</v>
      </c>
      <c r="D17" s="10">
        <v>3003.35</v>
      </c>
      <c r="E17" s="10">
        <v>3024.01</v>
      </c>
      <c r="F17" s="10">
        <v>3079</v>
      </c>
      <c r="G17" s="12">
        <v>3087</v>
      </c>
    </row>
    <row r="18" spans="1:7" x14ac:dyDescent="0.25">
      <c r="A18" s="10">
        <v>3029</v>
      </c>
      <c r="B18" s="10">
        <v>3060.8593499999997</v>
      </c>
      <c r="C18" s="10">
        <v>3083</v>
      </c>
      <c r="D18" s="10">
        <v>3016.24</v>
      </c>
      <c r="E18" s="10">
        <v>3018.06</v>
      </c>
      <c r="F18" s="10">
        <v>3083</v>
      </c>
      <c r="G18" s="12">
        <v>3091</v>
      </c>
    </row>
    <row r="19" spans="1:7" x14ac:dyDescent="0.25">
      <c r="A19" s="10">
        <v>3037</v>
      </c>
      <c r="B19" s="10">
        <v>3064.8195000000001</v>
      </c>
      <c r="C19" s="10">
        <v>3079</v>
      </c>
      <c r="D19" s="10">
        <v>2992.22</v>
      </c>
      <c r="E19" s="10">
        <v>3017.62</v>
      </c>
      <c r="F19" s="10">
        <v>3079</v>
      </c>
      <c r="G19" s="12">
        <v>3087</v>
      </c>
    </row>
    <row r="20" spans="1:7" x14ac:dyDescent="0.25">
      <c r="A20" s="10">
        <v>3048</v>
      </c>
      <c r="B20" s="10">
        <v>3075.6799500000006</v>
      </c>
      <c r="C20" s="10">
        <v>3081</v>
      </c>
      <c r="D20" s="10">
        <v>3012.28</v>
      </c>
      <c r="E20" s="10">
        <v>3038.02</v>
      </c>
      <c r="F20" s="10">
        <v>3081</v>
      </c>
      <c r="G20" s="12">
        <v>3089</v>
      </c>
    </row>
    <row r="21" spans="1:7" x14ac:dyDescent="0.25">
      <c r="A21" s="10">
        <v>3063</v>
      </c>
      <c r="B21" s="10">
        <v>3097.3269</v>
      </c>
      <c r="C21" s="10">
        <v>3097</v>
      </c>
      <c r="D21" s="10">
        <v>3048.65</v>
      </c>
      <c r="E21" s="10">
        <v>3048.07</v>
      </c>
      <c r="F21" s="10">
        <v>3097</v>
      </c>
      <c r="G21" s="12">
        <v>3105</v>
      </c>
    </row>
    <row r="22" spans="1:7" x14ac:dyDescent="0.25">
      <c r="A22" s="10">
        <v>3080</v>
      </c>
      <c r="B22" s="10">
        <v>3112.1602500000004</v>
      </c>
      <c r="C22" s="10">
        <v>3119</v>
      </c>
      <c r="D22" s="10">
        <v>3064.11</v>
      </c>
      <c r="E22" s="10">
        <v>3071.73</v>
      </c>
      <c r="F22" s="10">
        <v>3119</v>
      </c>
      <c r="G22" s="12">
        <v>3127</v>
      </c>
    </row>
    <row r="23" spans="1:7" x14ac:dyDescent="0.25">
      <c r="A23" s="10">
        <v>3104</v>
      </c>
      <c r="B23" s="10">
        <v>3132.6903000000002</v>
      </c>
      <c r="C23" s="10">
        <v>3154</v>
      </c>
      <c r="D23" s="10">
        <v>3090.34</v>
      </c>
      <c r="E23" s="10">
        <v>3104.09</v>
      </c>
      <c r="F23" s="10">
        <v>3154</v>
      </c>
      <c r="G23" s="12">
        <v>3162</v>
      </c>
    </row>
    <row r="24" spans="1:7" x14ac:dyDescent="0.25">
      <c r="A24" s="10">
        <v>3146.5</v>
      </c>
      <c r="B24" s="10">
        <v>3165.4016999999999</v>
      </c>
      <c r="C24" s="10">
        <v>3175</v>
      </c>
      <c r="D24" s="10">
        <v>3146.5</v>
      </c>
      <c r="E24" s="10">
        <v>3132.74</v>
      </c>
      <c r="F24" s="10">
        <v>3175</v>
      </c>
      <c r="G24" s="12">
        <v>3183</v>
      </c>
    </row>
    <row r="25" spans="1:7" x14ac:dyDescent="0.25">
      <c r="A25" s="10">
        <v>3188</v>
      </c>
      <c r="B25" s="10">
        <v>3216.90915</v>
      </c>
      <c r="C25" s="10">
        <v>3194</v>
      </c>
      <c r="D25" s="10">
        <v>3186.93</v>
      </c>
      <c r="E25" s="10">
        <v>3220.98</v>
      </c>
      <c r="F25" s="10">
        <v>3220.98</v>
      </c>
      <c r="G25" s="12">
        <v>3228.98</v>
      </c>
    </row>
    <row r="26" spans="1:7" x14ac:dyDescent="0.25">
      <c r="A26" s="10">
        <v>3225</v>
      </c>
      <c r="B26" s="10">
        <v>3250.2631500000002</v>
      </c>
      <c r="C26" s="10">
        <v>3205</v>
      </c>
      <c r="D26" s="10">
        <v>3200.37</v>
      </c>
      <c r="E26" s="10">
        <v>3281.51</v>
      </c>
      <c r="F26" s="10">
        <v>3281.51</v>
      </c>
      <c r="G26" s="12">
        <v>3289.51</v>
      </c>
    </row>
    <row r="27" spans="1:7" x14ac:dyDescent="0.25">
      <c r="A27" s="10">
        <v>3204</v>
      </c>
      <c r="B27" s="10">
        <v>3239.8259999999996</v>
      </c>
      <c r="C27" s="10">
        <v>3203</v>
      </c>
      <c r="D27" s="10">
        <v>3179.74</v>
      </c>
      <c r="E27" s="10">
        <v>3241.31</v>
      </c>
      <c r="F27" s="10">
        <v>3241.31</v>
      </c>
      <c r="G27" s="12">
        <v>3249.31</v>
      </c>
    </row>
    <row r="28" spans="1:7" x14ac:dyDescent="0.25">
      <c r="A28" s="10">
        <v>3244</v>
      </c>
      <c r="B28" s="10">
        <v>3269.7629999999995</v>
      </c>
      <c r="C28" s="10">
        <v>3215</v>
      </c>
      <c r="D28" s="10">
        <v>3194.62</v>
      </c>
      <c r="E28" s="10">
        <v>3319.35</v>
      </c>
      <c r="F28" s="10">
        <v>3319.35</v>
      </c>
      <c r="G28" s="12">
        <v>3327.35</v>
      </c>
    </row>
    <row r="29" spans="1:7" x14ac:dyDescent="0.25">
      <c r="A29" s="10">
        <v>3292.98</v>
      </c>
      <c r="B29" s="10">
        <v>3317.0986499999999</v>
      </c>
      <c r="C29" s="10">
        <v>3282</v>
      </c>
      <c r="D29" s="10">
        <v>3292.98</v>
      </c>
      <c r="E29" s="10">
        <v>3353.67</v>
      </c>
      <c r="F29" s="10">
        <v>3353.67</v>
      </c>
      <c r="G29" s="12">
        <v>3361.67</v>
      </c>
    </row>
    <row r="30" spans="1:7" x14ac:dyDescent="0.25">
      <c r="A30" s="10">
        <v>3488</v>
      </c>
      <c r="B30" s="10">
        <v>3468.3671999999997</v>
      </c>
      <c r="C30" s="10">
        <v>3488</v>
      </c>
      <c r="D30" s="10">
        <v>3475.7</v>
      </c>
      <c r="E30" s="10">
        <v>3535.22</v>
      </c>
      <c r="F30" s="10">
        <v>3535.22</v>
      </c>
      <c r="G30" s="12">
        <v>3543.22</v>
      </c>
    </row>
    <row r="31" spans="1:7" x14ac:dyDescent="0.25">
      <c r="A31" s="10">
        <v>3550</v>
      </c>
      <c r="B31" s="10">
        <v>3576.7626</v>
      </c>
      <c r="C31" s="10">
        <v>3562</v>
      </c>
      <c r="D31" s="10">
        <v>3543</v>
      </c>
      <c r="E31" s="10">
        <v>3569</v>
      </c>
      <c r="F31" s="10">
        <v>3569</v>
      </c>
      <c r="G31" s="12">
        <v>3577</v>
      </c>
    </row>
    <row r="32" spans="1:7" x14ac:dyDescent="0.25">
      <c r="A32" s="10">
        <v>3557</v>
      </c>
      <c r="B32" s="10">
        <v>3601.7678999999998</v>
      </c>
      <c r="C32" s="10">
        <v>3589</v>
      </c>
      <c r="D32" s="10">
        <v>3543</v>
      </c>
      <c r="E32" s="10">
        <v>3579</v>
      </c>
      <c r="F32" s="10">
        <v>3589</v>
      </c>
      <c r="G32" s="12">
        <v>3597</v>
      </c>
    </row>
    <row r="33" spans="1:7" x14ac:dyDescent="0.25">
      <c r="A33" s="10">
        <v>3612</v>
      </c>
      <c r="B33" s="10">
        <v>3636.20055</v>
      </c>
      <c r="C33" s="10">
        <v>3665</v>
      </c>
      <c r="D33" s="10">
        <v>3612</v>
      </c>
      <c r="E33" s="10">
        <v>3599</v>
      </c>
      <c r="F33" s="10">
        <v>3665</v>
      </c>
      <c r="G33" s="12">
        <v>3673</v>
      </c>
    </row>
    <row r="34" spans="1:7" x14ac:dyDescent="0.25">
      <c r="A34" s="10">
        <v>3583</v>
      </c>
      <c r="B34" s="10">
        <v>3660.739</v>
      </c>
      <c r="C34" s="10">
        <v>3648</v>
      </c>
      <c r="D34" s="10">
        <v>3583</v>
      </c>
      <c r="E34" s="10">
        <v>3560</v>
      </c>
      <c r="F34" s="10">
        <v>3648</v>
      </c>
      <c r="G34" s="12">
        <v>3656</v>
      </c>
    </row>
    <row r="35" spans="1:7" x14ac:dyDescent="0.25">
      <c r="A35" s="10">
        <v>3601</v>
      </c>
      <c r="B35" s="10">
        <v>3633.8008</v>
      </c>
      <c r="C35" s="10"/>
      <c r="D35" s="10">
        <v>3601</v>
      </c>
      <c r="E35" s="10">
        <v>3541</v>
      </c>
      <c r="F35" s="10">
        <v>3601</v>
      </c>
      <c r="G35" s="12">
        <v>3609</v>
      </c>
    </row>
    <row r="36" spans="1:7" x14ac:dyDescent="0.25">
      <c r="A36" s="10">
        <v>3719</v>
      </c>
      <c r="B36" s="10">
        <v>3690.625</v>
      </c>
      <c r="C36" s="10"/>
      <c r="D36" s="10">
        <v>3719</v>
      </c>
      <c r="E36" s="10">
        <v>3596</v>
      </c>
      <c r="F36" s="10">
        <v>3719</v>
      </c>
      <c r="G36" s="12">
        <v>3727</v>
      </c>
    </row>
    <row r="37" spans="1:7" x14ac:dyDescent="0.25">
      <c r="A37" s="10">
        <v>3801</v>
      </c>
      <c r="B37" s="10">
        <v>3768.4</v>
      </c>
      <c r="C37" s="10"/>
      <c r="D37" s="10">
        <v>3801</v>
      </c>
      <c r="E37" s="10">
        <v>3651</v>
      </c>
      <c r="F37" s="10">
        <v>3801</v>
      </c>
      <c r="G37" s="12">
        <v>3809</v>
      </c>
    </row>
    <row r="38" spans="1:7" x14ac:dyDescent="0.25">
      <c r="A38" s="10">
        <v>3879</v>
      </c>
      <c r="B38" s="10">
        <v>3815.32</v>
      </c>
      <c r="C38" s="10"/>
      <c r="D38" s="10">
        <v>3879</v>
      </c>
      <c r="E38" s="10">
        <v>3645</v>
      </c>
      <c r="F38" s="10">
        <v>3879</v>
      </c>
      <c r="G38" s="12">
        <v>3887</v>
      </c>
    </row>
    <row r="39" spans="1:7" x14ac:dyDescent="0.25">
      <c r="A39" s="10">
        <v>3871</v>
      </c>
      <c r="B39" s="10">
        <v>3802.57</v>
      </c>
      <c r="C39" s="10"/>
      <c r="D39" s="10">
        <v>3871</v>
      </c>
      <c r="E39" s="10">
        <v>3624</v>
      </c>
      <c r="F39" s="10">
        <v>3871</v>
      </c>
      <c r="G39" s="12">
        <v>3879</v>
      </c>
    </row>
    <row r="40" spans="1:7" x14ac:dyDescent="0.25">
      <c r="A40" s="10">
        <v>3826</v>
      </c>
      <c r="B40" s="10">
        <v>3796.1950000000002</v>
      </c>
      <c r="C40" s="10"/>
      <c r="D40" s="10">
        <v>3826</v>
      </c>
      <c r="E40" s="10">
        <v>3636</v>
      </c>
      <c r="F40" s="10">
        <v>3826</v>
      </c>
      <c r="G40" s="12">
        <v>3834</v>
      </c>
    </row>
    <row r="41" spans="1:7" x14ac:dyDescent="0.25">
      <c r="A41" s="10">
        <v>3781</v>
      </c>
      <c r="B41" s="10">
        <v>3755.65</v>
      </c>
      <c r="C41" s="10"/>
      <c r="D41" s="10">
        <v>3781</v>
      </c>
      <c r="E41" s="10">
        <v>3599</v>
      </c>
      <c r="F41" s="10">
        <v>3781</v>
      </c>
      <c r="G41" s="12">
        <v>3789</v>
      </c>
    </row>
    <row r="42" spans="1:7" x14ac:dyDescent="0.25">
      <c r="A42" s="10">
        <v>3751</v>
      </c>
      <c r="B42" s="10">
        <v>3717.645</v>
      </c>
      <c r="C42" s="10"/>
      <c r="D42" s="10">
        <v>3744</v>
      </c>
      <c r="E42" s="10">
        <v>3591</v>
      </c>
      <c r="F42" s="10">
        <v>3744</v>
      </c>
      <c r="G42" s="12">
        <v>3752</v>
      </c>
    </row>
    <row r="43" spans="1:7" x14ac:dyDescent="0.25">
      <c r="A43" s="10">
        <v>3739</v>
      </c>
      <c r="B43" s="10">
        <v>3738.3</v>
      </c>
      <c r="C43" s="10"/>
      <c r="D43" s="10">
        <v>3735</v>
      </c>
      <c r="E43" s="10">
        <v>3664</v>
      </c>
      <c r="F43" s="10">
        <v>3735</v>
      </c>
      <c r="G43" s="12">
        <v>3743</v>
      </c>
    </row>
    <row r="44" spans="1:7" x14ac:dyDescent="0.25">
      <c r="A44" s="10">
        <v>3716</v>
      </c>
      <c r="B44" s="10">
        <v>3757.4250000000002</v>
      </c>
      <c r="C44" s="10"/>
      <c r="D44" s="10">
        <v>3766</v>
      </c>
      <c r="E44" s="10">
        <v>3669</v>
      </c>
      <c r="F44" s="10">
        <v>3766</v>
      </c>
      <c r="G44" s="12">
        <v>3774</v>
      </c>
    </row>
    <row r="45" spans="1:7" x14ac:dyDescent="0.25">
      <c r="A45" s="10">
        <v>3690</v>
      </c>
      <c r="B45" s="10">
        <v>3723</v>
      </c>
      <c r="C45" s="10"/>
      <c r="D45" s="10">
        <v>3707</v>
      </c>
      <c r="E45" s="10">
        <v>3607</v>
      </c>
      <c r="F45" s="10">
        <v>3707</v>
      </c>
      <c r="G45" s="12">
        <v>3715</v>
      </c>
    </row>
    <row r="46" spans="1:7" x14ac:dyDescent="0.25">
      <c r="A46" s="10">
        <v>3668</v>
      </c>
      <c r="B46" s="10">
        <v>3707.9549999999999</v>
      </c>
      <c r="C46" s="10"/>
      <c r="D46" s="10">
        <v>3670</v>
      </c>
      <c r="E46" s="10">
        <v>3602</v>
      </c>
      <c r="F46" s="10">
        <v>3670</v>
      </c>
      <c r="G46" s="12">
        <v>3678</v>
      </c>
    </row>
    <row r="47" spans="1:7" x14ac:dyDescent="0.25">
      <c r="A47" s="10">
        <v>3588</v>
      </c>
      <c r="B47" s="10">
        <v>3656.7000000000003</v>
      </c>
      <c r="C47" s="10"/>
      <c r="D47" s="10">
        <v>3589</v>
      </c>
      <c r="E47" s="10">
        <v>3576</v>
      </c>
      <c r="F47" s="10">
        <v>3589</v>
      </c>
      <c r="G47" s="12">
        <v>3597</v>
      </c>
    </row>
    <row r="48" spans="1:7" x14ac:dyDescent="0.25">
      <c r="A48" s="10">
        <v>3527</v>
      </c>
      <c r="B48" s="10">
        <v>3598.61355</v>
      </c>
      <c r="C48" s="10"/>
      <c r="D48" s="10">
        <v>3553</v>
      </c>
      <c r="E48" s="10">
        <v>3502</v>
      </c>
      <c r="F48" s="10">
        <v>3553</v>
      </c>
      <c r="G48" s="12">
        <v>3561</v>
      </c>
    </row>
    <row r="49" spans="1:7" x14ac:dyDescent="0.25">
      <c r="A49" s="10">
        <v>3473</v>
      </c>
      <c r="B49" s="10">
        <v>3538.8568499999997</v>
      </c>
      <c r="C49" s="10"/>
      <c r="D49" s="10">
        <v>3517</v>
      </c>
      <c r="E49" s="10">
        <v>3437</v>
      </c>
      <c r="F49" s="10">
        <v>3517</v>
      </c>
      <c r="G49" s="12">
        <v>3525</v>
      </c>
    </row>
    <row r="50" spans="1:7" x14ac:dyDescent="0.25">
      <c r="A50" s="10">
        <v>3313</v>
      </c>
      <c r="B50" s="10">
        <v>3419.4301499999997</v>
      </c>
      <c r="C50" s="10"/>
      <c r="D50" s="10">
        <v>3409</v>
      </c>
      <c r="E50" s="10">
        <v>3242</v>
      </c>
      <c r="F50" s="10">
        <v>3409</v>
      </c>
      <c r="G50" s="12">
        <v>3417</v>
      </c>
    </row>
    <row r="51" spans="1:7" x14ac:dyDescent="0.25">
      <c r="A51" s="10">
        <v>3258</v>
      </c>
      <c r="B51" s="10">
        <v>3324.2972999999997</v>
      </c>
      <c r="C51" s="10"/>
      <c r="D51" s="10">
        <v>3313</v>
      </c>
      <c r="E51" s="10">
        <v>3205</v>
      </c>
      <c r="F51" s="10">
        <v>3313</v>
      </c>
      <c r="G51" s="12">
        <v>3321</v>
      </c>
    </row>
    <row r="52" spans="1:7" x14ac:dyDescent="0.25">
      <c r="A52" s="10">
        <v>3260</v>
      </c>
      <c r="B52" s="10">
        <v>3309.5455500000003</v>
      </c>
      <c r="C52" s="10"/>
      <c r="D52" s="10">
        <v>3297</v>
      </c>
      <c r="E52" s="10">
        <v>3214</v>
      </c>
      <c r="F52" s="10">
        <v>3297</v>
      </c>
      <c r="G52" s="12">
        <v>3305</v>
      </c>
    </row>
    <row r="53" spans="1:7" x14ac:dyDescent="0.25">
      <c r="A53" s="10">
        <v>3188</v>
      </c>
      <c r="B53" s="10">
        <v>3275.3831999999998</v>
      </c>
      <c r="C53" s="10"/>
      <c r="D53" s="10">
        <v>3235</v>
      </c>
      <c r="E53" s="10">
        <v>3168</v>
      </c>
      <c r="F53" s="10">
        <v>3235</v>
      </c>
      <c r="G53" s="12">
        <v>3243</v>
      </c>
    </row>
    <row r="54" spans="1:7" x14ac:dyDescent="0.25">
      <c r="A54" s="10">
        <v>3380</v>
      </c>
      <c r="B54" s="10">
        <v>3363.0777000000003</v>
      </c>
      <c r="C54" s="10"/>
      <c r="D54" s="10">
        <v>3360</v>
      </c>
      <c r="E54" s="10">
        <v>3330</v>
      </c>
      <c r="F54" s="10">
        <v>3360</v>
      </c>
      <c r="G54" s="12">
        <v>3368</v>
      </c>
    </row>
    <row r="55" spans="1:7" x14ac:dyDescent="0.25">
      <c r="A55" s="10">
        <v>3407</v>
      </c>
      <c r="B55" s="10">
        <v>3453.7429500000003</v>
      </c>
      <c r="C55" s="10"/>
      <c r="D55" s="10">
        <v>3485</v>
      </c>
      <c r="E55" s="10">
        <v>3351</v>
      </c>
      <c r="F55" s="10">
        <v>3485</v>
      </c>
      <c r="G55" s="12">
        <v>3493</v>
      </c>
    </row>
    <row r="56" spans="1:7" x14ac:dyDescent="0.25">
      <c r="A56" s="10">
        <v>3357</v>
      </c>
      <c r="B56" s="10">
        <v>3424.4434500000002</v>
      </c>
      <c r="C56" s="10"/>
      <c r="D56" s="10">
        <v>3474</v>
      </c>
      <c r="E56" s="10">
        <v>3330</v>
      </c>
      <c r="F56" s="10">
        <v>3474</v>
      </c>
      <c r="G56" s="12">
        <v>3482</v>
      </c>
    </row>
    <row r="57" spans="1:7" x14ac:dyDescent="0.25">
      <c r="A57" s="10">
        <v>3340</v>
      </c>
      <c r="B57" s="10">
        <v>3387.8305500000001</v>
      </c>
      <c r="C57" s="10"/>
      <c r="D57" s="10">
        <v>3448</v>
      </c>
      <c r="E57" s="10">
        <v>3340</v>
      </c>
      <c r="F57" s="10">
        <v>3448</v>
      </c>
      <c r="G57" s="12">
        <v>3456</v>
      </c>
    </row>
    <row r="58" spans="1:7" x14ac:dyDescent="0.25">
      <c r="A58" s="10">
        <v>3302</v>
      </c>
      <c r="B58" s="10">
        <v>3338.4880500000004</v>
      </c>
      <c r="C58" s="10"/>
      <c r="D58" s="10">
        <v>3372</v>
      </c>
      <c r="E58" s="10">
        <v>3302</v>
      </c>
      <c r="F58" s="10">
        <v>3372</v>
      </c>
      <c r="G58" s="12">
        <v>3380</v>
      </c>
    </row>
    <row r="59" spans="1:7" x14ac:dyDescent="0.25">
      <c r="A59" s="10">
        <v>3299</v>
      </c>
      <c r="B59" s="10">
        <v>3337.2130500000003</v>
      </c>
      <c r="C59" s="10"/>
      <c r="D59" s="10">
        <v>3344</v>
      </c>
      <c r="E59" s="10">
        <v>3299</v>
      </c>
      <c r="F59" s="10">
        <v>3344</v>
      </c>
      <c r="G59" s="12">
        <v>3352</v>
      </c>
    </row>
    <row r="60" spans="1:7" x14ac:dyDescent="0.25">
      <c r="A60" s="10">
        <v>3281</v>
      </c>
      <c r="B60" s="10">
        <v>3307.8396000000002</v>
      </c>
      <c r="C60" s="10"/>
      <c r="D60" s="10">
        <v>3323</v>
      </c>
      <c r="E60" s="10">
        <v>3281</v>
      </c>
      <c r="F60" s="10">
        <v>3323</v>
      </c>
      <c r="G60" s="12">
        <v>3331</v>
      </c>
    </row>
    <row r="61" spans="1:7" x14ac:dyDescent="0.25">
      <c r="A61" s="10">
        <v>3293</v>
      </c>
      <c r="B61" s="10">
        <v>3311.7334500000002</v>
      </c>
      <c r="C61" s="10"/>
      <c r="D61" s="10">
        <v>3279</v>
      </c>
      <c r="E61" s="10">
        <v>3293</v>
      </c>
      <c r="F61" s="10">
        <v>3293</v>
      </c>
      <c r="G61" s="12">
        <v>3301</v>
      </c>
    </row>
    <row r="62" spans="1:7" x14ac:dyDescent="0.25">
      <c r="A62" s="10">
        <v>3284</v>
      </c>
      <c r="B62" s="10">
        <v>3286.6236000000004</v>
      </c>
      <c r="C62" s="10"/>
      <c r="D62" s="10">
        <v>3236</v>
      </c>
      <c r="E62" s="10">
        <v>3284</v>
      </c>
      <c r="F62" s="10">
        <v>3284</v>
      </c>
      <c r="G62" s="12">
        <v>3292</v>
      </c>
    </row>
    <row r="63" spans="1:7" x14ac:dyDescent="0.25">
      <c r="A63" s="10">
        <v>3309.77</v>
      </c>
      <c r="B63" s="10">
        <v>3292.8557999999998</v>
      </c>
      <c r="C63" s="10"/>
      <c r="D63" s="10">
        <v>3222</v>
      </c>
      <c r="E63" s="10">
        <v>3309.77</v>
      </c>
      <c r="F63" s="10">
        <v>3309.77</v>
      </c>
      <c r="G63" s="12">
        <v>3317.77</v>
      </c>
    </row>
    <row r="64" spans="1:7" x14ac:dyDescent="0.25">
      <c r="A64" s="10">
        <v>3314.55</v>
      </c>
      <c r="B64" s="10">
        <v>3303.1501499999999</v>
      </c>
      <c r="C64" s="10"/>
      <c r="D64" s="10">
        <v>3273</v>
      </c>
      <c r="E64" s="10">
        <v>3314.55</v>
      </c>
      <c r="F64" s="10">
        <v>3314.55</v>
      </c>
      <c r="G64" s="12">
        <v>3322.55</v>
      </c>
    </row>
    <row r="65" spans="1:7" x14ac:dyDescent="0.25">
      <c r="A65" s="10">
        <v>3298.51</v>
      </c>
      <c r="B65" s="10">
        <v>3302.1250500000001</v>
      </c>
      <c r="C65" s="10"/>
      <c r="D65" s="10">
        <v>3266</v>
      </c>
      <c r="E65" s="10">
        <v>3298.51</v>
      </c>
      <c r="F65" s="10">
        <v>3298.51</v>
      </c>
      <c r="G65" s="12">
        <v>3306.51</v>
      </c>
    </row>
    <row r="66" spans="1:7" x14ac:dyDescent="0.25">
      <c r="A66" s="10">
        <v>3319.95</v>
      </c>
      <c r="B66" s="10">
        <v>3312.9472500000002</v>
      </c>
      <c r="C66" s="10"/>
      <c r="D66" s="10">
        <v>3262</v>
      </c>
      <c r="E66" s="10">
        <v>3319.95</v>
      </c>
      <c r="F66" s="10">
        <v>3319.95</v>
      </c>
      <c r="G66" s="12">
        <v>3327.95</v>
      </c>
    </row>
    <row r="67" spans="1:7" x14ac:dyDescent="0.25">
      <c r="A67" s="10">
        <v>3333.09</v>
      </c>
      <c r="B67" s="10">
        <v>3314.0029500000001</v>
      </c>
      <c r="C67" s="10"/>
      <c r="D67" s="10">
        <v>3271</v>
      </c>
      <c r="E67" s="10">
        <v>3333.09</v>
      </c>
      <c r="F67" s="10">
        <v>3333.09</v>
      </c>
      <c r="G67" s="12">
        <v>3341.09</v>
      </c>
    </row>
    <row r="68" spans="1:7" x14ac:dyDescent="0.25">
      <c r="A68" s="10">
        <v>3330.82</v>
      </c>
      <c r="B68" s="10">
        <v>3320.8191000000002</v>
      </c>
      <c r="C68" s="10"/>
      <c r="D68" s="10">
        <v>3281</v>
      </c>
      <c r="E68" s="10">
        <v>3330.82</v>
      </c>
      <c r="F68" s="10">
        <v>3330.82</v>
      </c>
      <c r="G68" s="12">
        <v>3338.82</v>
      </c>
    </row>
    <row r="69" spans="1:7" x14ac:dyDescent="0.25">
      <c r="A69" s="10">
        <v>3380.34</v>
      </c>
      <c r="B69" s="10">
        <v>3340.3317000000002</v>
      </c>
      <c r="C69" s="10"/>
      <c r="D69" s="10">
        <v>3286</v>
      </c>
      <c r="E69" s="10">
        <v>3380.34</v>
      </c>
      <c r="F69" s="10">
        <v>3380.34</v>
      </c>
      <c r="G69" s="12">
        <v>3388.34</v>
      </c>
    </row>
    <row r="70" spans="1:7" x14ac:dyDescent="0.25">
      <c r="A70" s="10">
        <v>3395</v>
      </c>
      <c r="B70" s="10">
        <v>3404.25</v>
      </c>
      <c r="C70" s="10"/>
      <c r="D70" s="10">
        <v>3353</v>
      </c>
      <c r="E70" s="10">
        <v>3395</v>
      </c>
      <c r="F70" s="10">
        <v>3395</v>
      </c>
      <c r="G70" s="12">
        <v>3403</v>
      </c>
    </row>
    <row r="71" spans="1:7" x14ac:dyDescent="0.25">
      <c r="A71" s="10">
        <v>3383.87</v>
      </c>
      <c r="B71" s="10">
        <v>3405.74685</v>
      </c>
      <c r="C71" s="10"/>
      <c r="D71" s="10">
        <v>3345</v>
      </c>
      <c r="E71" s="10">
        <v>3383.87</v>
      </c>
      <c r="F71" s="10">
        <v>3383.87</v>
      </c>
      <c r="G71" s="12">
        <v>3391.87</v>
      </c>
    </row>
    <row r="72" spans="1:7" x14ac:dyDescent="0.25">
      <c r="A72" s="10">
        <v>3479.65</v>
      </c>
      <c r="B72" s="10">
        <v>3457.1370000000002</v>
      </c>
      <c r="C72" s="10"/>
      <c r="D72" s="10">
        <v>3415</v>
      </c>
      <c r="E72" s="10">
        <v>3479.65</v>
      </c>
      <c r="F72" s="10">
        <v>3479.65</v>
      </c>
      <c r="G72" s="12">
        <v>3487.65</v>
      </c>
    </row>
    <row r="73" spans="1:7" x14ac:dyDescent="0.25">
      <c r="A73" s="10">
        <v>3516.87</v>
      </c>
      <c r="B73" s="10">
        <v>3385.0068000000006</v>
      </c>
      <c r="C73" s="10"/>
      <c r="D73" s="10">
        <v>3457</v>
      </c>
      <c r="E73" s="10">
        <v>3516.87</v>
      </c>
      <c r="F73" s="10">
        <v>3516.87</v>
      </c>
      <c r="G73" s="12">
        <v>3524.87</v>
      </c>
    </row>
    <row r="74" spans="1:7" x14ac:dyDescent="0.25">
      <c r="A74" s="10">
        <v>3439.51</v>
      </c>
      <c r="B74" s="10">
        <v>3341.8268000000003</v>
      </c>
      <c r="C74" s="10"/>
      <c r="D74" s="10">
        <v>3429</v>
      </c>
      <c r="E74" s="10">
        <v>3439.51</v>
      </c>
      <c r="F74" s="10">
        <v>3439.51</v>
      </c>
      <c r="G74" s="12">
        <v>3447.51</v>
      </c>
    </row>
    <row r="75" spans="1:7" x14ac:dyDescent="0.25">
      <c r="A75" s="10">
        <v>3225.02</v>
      </c>
      <c r="B75" s="10">
        <v>3217.2950000000001</v>
      </c>
      <c r="C75" s="10"/>
      <c r="D75" s="10">
        <v>3205</v>
      </c>
      <c r="E75" s="10">
        <v>3225.02</v>
      </c>
      <c r="F75" s="10">
        <v>3225.02</v>
      </c>
      <c r="G75" s="12">
        <v>3233.02</v>
      </c>
    </row>
    <row r="76" spans="1:7" x14ac:dyDescent="0.25">
      <c r="A76" s="10">
        <v>3163</v>
      </c>
      <c r="B76" s="10">
        <v>3127.1780000000003</v>
      </c>
      <c r="C76" s="10"/>
      <c r="D76" s="10">
        <v>3127</v>
      </c>
      <c r="E76" s="10">
        <v>3155.37</v>
      </c>
      <c r="F76" s="10">
        <v>3155.37</v>
      </c>
      <c r="G76" s="12">
        <v>3163.37</v>
      </c>
    </row>
    <row r="77" spans="1:7" x14ac:dyDescent="0.25">
      <c r="A77" s="10">
        <v>2988</v>
      </c>
      <c r="B77" s="10">
        <v>2974.6641999999997</v>
      </c>
      <c r="C77" s="10"/>
      <c r="D77" s="10">
        <v>2984</v>
      </c>
      <c r="E77" s="10">
        <v>2963.43</v>
      </c>
      <c r="F77" s="10">
        <v>2984</v>
      </c>
      <c r="G77" s="12">
        <v>2992</v>
      </c>
    </row>
    <row r="78" spans="1:7" x14ac:dyDescent="0.25">
      <c r="A78" s="10">
        <v>2993</v>
      </c>
      <c r="B78" s="10">
        <v>2925.1738</v>
      </c>
      <c r="C78" s="10"/>
      <c r="D78" s="10">
        <v>3009</v>
      </c>
      <c r="E78" s="10">
        <v>2952.04</v>
      </c>
      <c r="F78" s="10">
        <v>3009</v>
      </c>
      <c r="G78" s="12">
        <v>3017</v>
      </c>
    </row>
    <row r="79" spans="1:7" x14ac:dyDescent="0.25">
      <c r="A79" s="10">
        <v>2991</v>
      </c>
      <c r="B79" s="10">
        <v>2922.4708000000005</v>
      </c>
      <c r="C79" s="10"/>
      <c r="D79" s="10">
        <v>2990</v>
      </c>
      <c r="E79" s="10">
        <v>2952.01</v>
      </c>
      <c r="F79" s="10">
        <v>2990</v>
      </c>
      <c r="G79" s="12">
        <v>2998</v>
      </c>
    </row>
    <row r="80" spans="1:7" x14ac:dyDescent="0.25">
      <c r="A80" s="10">
        <v>2987</v>
      </c>
      <c r="B80" s="10">
        <v>2906.3445999999994</v>
      </c>
      <c r="C80" s="10"/>
      <c r="D80" s="10">
        <v>2925</v>
      </c>
      <c r="E80" s="10">
        <v>2919.97</v>
      </c>
      <c r="F80" s="10">
        <v>2925</v>
      </c>
      <c r="G80" s="12">
        <v>2933</v>
      </c>
    </row>
    <row r="81" spans="1:7" x14ac:dyDescent="0.25">
      <c r="A81" s="10">
        <v>2951</v>
      </c>
      <c r="B81" s="10">
        <v>2876.5843999999997</v>
      </c>
      <c r="C81" s="10"/>
      <c r="D81" s="10">
        <v>2948</v>
      </c>
      <c r="E81" s="10">
        <v>2896.02</v>
      </c>
      <c r="F81" s="10">
        <v>2948</v>
      </c>
      <c r="G81" s="12">
        <v>2956</v>
      </c>
    </row>
    <row r="82" spans="1:7" x14ac:dyDescent="0.25">
      <c r="A82" s="10">
        <v>2917</v>
      </c>
      <c r="B82" s="10">
        <v>2839.3170000000005</v>
      </c>
      <c r="C82" s="10"/>
      <c r="D82" s="10">
        <v>2914</v>
      </c>
      <c r="E82" s="10">
        <v>2848.53</v>
      </c>
      <c r="F82" s="10">
        <v>2914</v>
      </c>
      <c r="G82" s="12">
        <v>2922</v>
      </c>
    </row>
    <row r="83" spans="1:7" x14ac:dyDescent="0.25">
      <c r="A83" s="10">
        <v>2866</v>
      </c>
      <c r="B83" s="10">
        <v>2795.5794000000001</v>
      </c>
      <c r="C83" s="10"/>
      <c r="D83" s="10">
        <v>2840</v>
      </c>
      <c r="E83" s="10">
        <v>2831.56</v>
      </c>
      <c r="F83" s="10">
        <v>2840</v>
      </c>
      <c r="G83" s="12">
        <v>2848</v>
      </c>
    </row>
    <row r="84" spans="1:7" x14ac:dyDescent="0.25">
      <c r="A84" s="10">
        <v>2833</v>
      </c>
      <c r="B84" s="10">
        <v>2743.5866000000001</v>
      </c>
      <c r="C84" s="10"/>
      <c r="D84" s="10">
        <v>2821</v>
      </c>
      <c r="E84" s="10">
        <v>2779.97</v>
      </c>
      <c r="F84" s="10">
        <v>2821</v>
      </c>
      <c r="G84" s="12">
        <v>2829</v>
      </c>
    </row>
    <row r="85" spans="1:7" x14ac:dyDescent="0.25">
      <c r="A85" s="10">
        <v>2806</v>
      </c>
      <c r="B85" s="10">
        <v>2726.8314</v>
      </c>
      <c r="C85" s="10"/>
      <c r="D85" s="10">
        <v>2769</v>
      </c>
      <c r="E85" s="10">
        <v>2755.17</v>
      </c>
      <c r="F85" s="10">
        <v>2769</v>
      </c>
      <c r="G85" s="12">
        <v>2777</v>
      </c>
    </row>
    <row r="86" spans="1:7" x14ac:dyDescent="0.25">
      <c r="A86" s="10">
        <v>2798</v>
      </c>
      <c r="B86" s="10">
        <v>2798.3734000000004</v>
      </c>
      <c r="C86" s="10"/>
      <c r="D86" s="10">
        <v>2777</v>
      </c>
      <c r="E86" s="10">
        <v>2728.51</v>
      </c>
      <c r="F86" s="10">
        <v>2777</v>
      </c>
      <c r="G86" s="12">
        <v>2785</v>
      </c>
    </row>
    <row r="87" spans="1:7" x14ac:dyDescent="0.25">
      <c r="A87" s="10">
        <v>2762</v>
      </c>
      <c r="B87" s="10">
        <v>2787.2248</v>
      </c>
      <c r="C87" s="10"/>
      <c r="D87" s="10">
        <v>2721</v>
      </c>
      <c r="E87" s="10">
        <v>2702.47</v>
      </c>
      <c r="F87" s="10">
        <v>2721</v>
      </c>
      <c r="G87" s="12">
        <v>2729</v>
      </c>
    </row>
    <row r="88" spans="1:7" x14ac:dyDescent="0.25">
      <c r="A88" s="10">
        <v>2751</v>
      </c>
      <c r="B88" s="10">
        <v>2752.895</v>
      </c>
      <c r="C88" s="10"/>
      <c r="D88" s="10">
        <v>2721</v>
      </c>
      <c r="E88" s="10">
        <v>2687.36</v>
      </c>
      <c r="F88" s="10">
        <v>2721</v>
      </c>
      <c r="G88" s="12">
        <v>2729</v>
      </c>
    </row>
    <row r="89" spans="1:7" x14ac:dyDescent="0.25">
      <c r="A89" s="10">
        <v>2720</v>
      </c>
      <c r="B89" s="10">
        <v>2721.6796000000004</v>
      </c>
      <c r="C89" s="10"/>
      <c r="D89" s="10">
        <v>2682</v>
      </c>
      <c r="E89" s="10">
        <v>2658.03</v>
      </c>
      <c r="F89" s="10">
        <v>2682</v>
      </c>
      <c r="G89" s="12">
        <v>2690</v>
      </c>
    </row>
    <row r="90" spans="1:7" x14ac:dyDescent="0.25">
      <c r="A90" s="10">
        <v>2726</v>
      </c>
      <c r="B90" s="10">
        <v>2721.7067999999999</v>
      </c>
      <c r="C90" s="10"/>
      <c r="D90" s="10">
        <v>2721</v>
      </c>
      <c r="E90" s="10">
        <v>2685.96</v>
      </c>
      <c r="F90" s="10">
        <v>2721</v>
      </c>
      <c r="G90" s="12">
        <v>2729</v>
      </c>
    </row>
    <row r="91" spans="1:7" x14ac:dyDescent="0.25">
      <c r="A91" s="10">
        <v>2942</v>
      </c>
      <c r="B91" s="10">
        <v>2883.1455999999998</v>
      </c>
      <c r="C91" s="10"/>
      <c r="D91" s="10">
        <v>2896</v>
      </c>
      <c r="E91" s="10">
        <v>2890.85</v>
      </c>
      <c r="F91" s="10">
        <v>2896</v>
      </c>
      <c r="G91" s="12">
        <v>2904</v>
      </c>
    </row>
    <row r="92" spans="1:7" x14ac:dyDescent="0.25">
      <c r="A92" s="10">
        <v>3147</v>
      </c>
      <c r="B92" s="10">
        <v>3098.9912000000004</v>
      </c>
      <c r="C92" s="10"/>
      <c r="D92" s="10">
        <v>3122</v>
      </c>
      <c r="E92" s="10">
        <v>3115.88</v>
      </c>
      <c r="F92" s="10">
        <v>3122</v>
      </c>
      <c r="G92" s="12">
        <v>3130</v>
      </c>
    </row>
    <row r="93" spans="1:7" x14ac:dyDescent="0.25">
      <c r="A93" s="10">
        <v>3287</v>
      </c>
      <c r="B93" s="10">
        <v>3249.2882000000009</v>
      </c>
      <c r="C93" s="10"/>
      <c r="D93" s="10">
        <v>3271</v>
      </c>
      <c r="E93" s="10">
        <v>3257.53</v>
      </c>
      <c r="F93" s="10">
        <v>3271</v>
      </c>
      <c r="G93" s="12">
        <v>3279</v>
      </c>
    </row>
    <row r="94" spans="1:7" x14ac:dyDescent="0.25">
      <c r="A94" s="10">
        <v>3423</v>
      </c>
      <c r="B94" s="10">
        <v>3394.2845999999995</v>
      </c>
      <c r="C94" s="10"/>
      <c r="D94" s="10">
        <v>3397</v>
      </c>
      <c r="E94" s="10">
        <v>3382.75</v>
      </c>
      <c r="F94" s="10">
        <v>3397</v>
      </c>
      <c r="G94" s="12">
        <v>3405</v>
      </c>
    </row>
    <row r="95" spans="1:7" x14ac:dyDescent="0.25">
      <c r="A95" s="10">
        <v>3465</v>
      </c>
      <c r="B95" s="10">
        <v>3486.0437999999999</v>
      </c>
      <c r="C95" s="10"/>
      <c r="D95" s="10">
        <v>3388</v>
      </c>
      <c r="E95" s="10">
        <v>3465</v>
      </c>
      <c r="F95" s="10">
        <v>3465</v>
      </c>
      <c r="G95" s="12">
        <v>3473</v>
      </c>
    </row>
    <row r="96" spans="1:7" x14ac:dyDescent="0.25">
      <c r="A96" s="10">
        <v>3415</v>
      </c>
      <c r="B96" s="10">
        <v>3435.0675999999999</v>
      </c>
      <c r="C96" s="10"/>
      <c r="D96" s="10">
        <v>3394</v>
      </c>
      <c r="E96" s="10">
        <v>3348</v>
      </c>
      <c r="F96" s="10">
        <v>3394</v>
      </c>
      <c r="G96" s="12">
        <v>3402</v>
      </c>
    </row>
    <row r="97" spans="1:7" x14ac:dyDescent="0.25">
      <c r="A97" s="12">
        <v>3395</v>
      </c>
      <c r="B97" s="10">
        <v>3419.0502000000001</v>
      </c>
      <c r="C97" s="10"/>
      <c r="D97" s="10">
        <v>3365</v>
      </c>
      <c r="E97" s="10">
        <v>3336</v>
      </c>
      <c r="F97" s="10">
        <v>3365</v>
      </c>
      <c r="G97" s="12">
        <v>3373</v>
      </c>
    </row>
    <row r="98" spans="1:7" x14ac:dyDescent="0.25">
      <c r="A98" s="10"/>
      <c r="B98" s="10">
        <v>786.31823512500011</v>
      </c>
      <c r="C98" s="10"/>
      <c r="D98" s="12">
        <v>782.32442500000002</v>
      </c>
      <c r="E98" s="12">
        <v>777.89942500000006</v>
      </c>
      <c r="F98" s="12">
        <v>788.72817499999996</v>
      </c>
      <c r="G98" s="12">
        <v>790.64817500000004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8"/>
  <sheetViews>
    <sheetView workbookViewId="0">
      <selection activeCell="J34" sqref="J34"/>
    </sheetView>
  </sheetViews>
  <sheetFormatPr defaultRowHeight="15" x14ac:dyDescent="0.25"/>
  <sheetData>
    <row r="2" spans="1:8" x14ac:dyDescent="0.25">
      <c r="A2">
        <v>2556.5364166666664</v>
      </c>
      <c r="B2">
        <v>2039</v>
      </c>
      <c r="C2">
        <v>2446</v>
      </c>
      <c r="D2">
        <v>2589</v>
      </c>
      <c r="E2" s="3">
        <f t="shared" ref="E2:E33" si="0">AVERAGE(C2:D2)</f>
        <v>2517.5</v>
      </c>
      <c r="F2">
        <f t="shared" ref="F2:F33" si="1">MAX(C2:D2)</f>
        <v>2589</v>
      </c>
      <c r="G2">
        <f t="shared" ref="G2:G33" si="2">F2-150</f>
        <v>2439</v>
      </c>
      <c r="H2">
        <f t="shared" ref="H2:H33" si="3">G2-28</f>
        <v>2411</v>
      </c>
    </row>
    <row r="3" spans="1:8" x14ac:dyDescent="0.25">
      <c r="A3">
        <v>2492.1466500000001</v>
      </c>
      <c r="B3">
        <v>2024</v>
      </c>
      <c r="C3">
        <v>2410</v>
      </c>
      <c r="D3">
        <v>2516</v>
      </c>
      <c r="E3" s="3">
        <f t="shared" si="0"/>
        <v>2463</v>
      </c>
      <c r="F3">
        <f t="shared" si="1"/>
        <v>2516</v>
      </c>
      <c r="G3">
        <f t="shared" si="2"/>
        <v>2366</v>
      </c>
      <c r="H3">
        <f t="shared" si="3"/>
        <v>2338</v>
      </c>
    </row>
    <row r="4" spans="1:8" x14ac:dyDescent="0.25">
      <c r="A4">
        <v>2500.1199166666665</v>
      </c>
      <c r="B4">
        <v>2024</v>
      </c>
      <c r="C4">
        <v>2388</v>
      </c>
      <c r="D4">
        <v>2506</v>
      </c>
      <c r="E4" s="3">
        <f t="shared" si="0"/>
        <v>2447</v>
      </c>
      <c r="F4">
        <f t="shared" si="1"/>
        <v>2506</v>
      </c>
      <c r="G4">
        <f t="shared" si="2"/>
        <v>2356</v>
      </c>
      <c r="H4">
        <f t="shared" si="3"/>
        <v>2328</v>
      </c>
    </row>
    <row r="5" spans="1:8" x14ac:dyDescent="0.25">
      <c r="A5">
        <v>2475.9613166666663</v>
      </c>
      <c r="B5">
        <v>2034</v>
      </c>
      <c r="C5">
        <v>2393</v>
      </c>
      <c r="D5">
        <v>2483</v>
      </c>
      <c r="E5" s="3">
        <f t="shared" si="0"/>
        <v>2438</v>
      </c>
      <c r="F5">
        <f t="shared" si="1"/>
        <v>2483</v>
      </c>
      <c r="G5">
        <f t="shared" si="2"/>
        <v>2333</v>
      </c>
      <c r="H5">
        <f t="shared" si="3"/>
        <v>2305</v>
      </c>
    </row>
    <row r="6" spans="1:8" x14ac:dyDescent="0.25">
      <c r="A6">
        <v>2476.4853499999999</v>
      </c>
      <c r="B6">
        <v>2008</v>
      </c>
      <c r="C6">
        <v>2361</v>
      </c>
      <c r="D6">
        <v>2487</v>
      </c>
      <c r="E6" s="3">
        <f t="shared" si="0"/>
        <v>2424</v>
      </c>
      <c r="F6">
        <f t="shared" si="1"/>
        <v>2487</v>
      </c>
      <c r="G6">
        <f t="shared" si="2"/>
        <v>2337</v>
      </c>
      <c r="H6">
        <f t="shared" si="3"/>
        <v>2309</v>
      </c>
    </row>
    <row r="7" spans="1:8" x14ac:dyDescent="0.25">
      <c r="A7">
        <v>2448.8077666666663</v>
      </c>
      <c r="B7">
        <v>2010</v>
      </c>
      <c r="C7">
        <v>2333</v>
      </c>
      <c r="D7">
        <v>2451.54</v>
      </c>
      <c r="E7" s="3">
        <f t="shared" si="0"/>
        <v>2392.27</v>
      </c>
      <c r="F7">
        <f t="shared" si="1"/>
        <v>2451.54</v>
      </c>
      <c r="G7">
        <f t="shared" si="2"/>
        <v>2301.54</v>
      </c>
      <c r="H7">
        <f t="shared" si="3"/>
        <v>2273.54</v>
      </c>
    </row>
    <row r="8" spans="1:8" x14ac:dyDescent="0.25">
      <c r="A8">
        <v>2452.5058500000005</v>
      </c>
      <c r="B8">
        <v>2013</v>
      </c>
      <c r="C8">
        <v>2272</v>
      </c>
      <c r="D8">
        <v>2461.4899999999998</v>
      </c>
      <c r="E8" s="3">
        <f t="shared" si="0"/>
        <v>2366.7449999999999</v>
      </c>
      <c r="F8">
        <f t="shared" si="1"/>
        <v>2461.4899999999998</v>
      </c>
      <c r="G8">
        <f t="shared" si="2"/>
        <v>2311.4899999999998</v>
      </c>
      <c r="H8">
        <f t="shared" si="3"/>
        <v>2283.4899999999998</v>
      </c>
    </row>
    <row r="9" spans="1:8" x14ac:dyDescent="0.25">
      <c r="A9">
        <v>2437.5874833333332</v>
      </c>
      <c r="B9">
        <v>1997</v>
      </c>
      <c r="C9">
        <v>2250</v>
      </c>
      <c r="D9">
        <v>2437.0700000000002</v>
      </c>
      <c r="E9" s="3">
        <f t="shared" si="0"/>
        <v>2343.5349999999999</v>
      </c>
      <c r="F9">
        <f t="shared" si="1"/>
        <v>2437.0700000000002</v>
      </c>
      <c r="G9">
        <f t="shared" si="2"/>
        <v>2287.0700000000002</v>
      </c>
      <c r="H9">
        <f t="shared" si="3"/>
        <v>2259.0700000000002</v>
      </c>
    </row>
    <row r="10" spans="1:8" x14ac:dyDescent="0.25">
      <c r="A10">
        <v>2388.663333333333</v>
      </c>
      <c r="B10">
        <v>1964</v>
      </c>
      <c r="C10">
        <v>2198</v>
      </c>
      <c r="D10">
        <v>2378.4499999999998</v>
      </c>
      <c r="E10" s="3">
        <f t="shared" si="0"/>
        <v>2288.2249999999999</v>
      </c>
      <c r="F10">
        <f t="shared" si="1"/>
        <v>2378.4499999999998</v>
      </c>
      <c r="G10">
        <f t="shared" si="2"/>
        <v>2228.4499999999998</v>
      </c>
      <c r="H10">
        <f t="shared" si="3"/>
        <v>2200.4499999999998</v>
      </c>
    </row>
    <row r="11" spans="1:8" x14ac:dyDescent="0.25">
      <c r="A11">
        <v>2355.7288333333336</v>
      </c>
      <c r="B11">
        <v>1974</v>
      </c>
      <c r="C11">
        <v>2166</v>
      </c>
      <c r="D11">
        <v>2360.42</v>
      </c>
      <c r="E11" s="3">
        <f t="shared" si="0"/>
        <v>2263.21</v>
      </c>
      <c r="F11">
        <f t="shared" si="1"/>
        <v>2360.42</v>
      </c>
      <c r="G11">
        <f t="shared" si="2"/>
        <v>2210.42</v>
      </c>
      <c r="H11">
        <f t="shared" si="3"/>
        <v>2182.42</v>
      </c>
    </row>
    <row r="12" spans="1:8" x14ac:dyDescent="0.25">
      <c r="A12">
        <v>2333.7923999999998</v>
      </c>
      <c r="B12">
        <v>1953</v>
      </c>
      <c r="C12">
        <v>2148</v>
      </c>
      <c r="D12">
        <v>2353.16</v>
      </c>
      <c r="E12" s="3">
        <f t="shared" si="0"/>
        <v>2250.58</v>
      </c>
      <c r="F12">
        <f t="shared" si="1"/>
        <v>2353.16</v>
      </c>
      <c r="G12">
        <f t="shared" si="2"/>
        <v>2203.16</v>
      </c>
      <c r="H12">
        <f t="shared" si="3"/>
        <v>2175.16</v>
      </c>
    </row>
    <row r="13" spans="1:8" x14ac:dyDescent="0.25">
      <c r="A13">
        <v>2303.8312916666664</v>
      </c>
      <c r="B13">
        <v>1937</v>
      </c>
      <c r="C13">
        <v>2113</v>
      </c>
      <c r="D13">
        <v>2340.33</v>
      </c>
      <c r="E13" s="3">
        <f t="shared" si="0"/>
        <v>2226.665</v>
      </c>
      <c r="F13">
        <f t="shared" si="1"/>
        <v>2340.33</v>
      </c>
      <c r="G13">
        <f t="shared" si="2"/>
        <v>2190.33</v>
      </c>
      <c r="H13">
        <f t="shared" si="3"/>
        <v>2162.33</v>
      </c>
    </row>
    <row r="14" spans="1:8" x14ac:dyDescent="0.25">
      <c r="A14">
        <v>2308.2524083333337</v>
      </c>
      <c r="B14">
        <v>1925</v>
      </c>
      <c r="C14">
        <v>2126</v>
      </c>
      <c r="D14">
        <v>2339.5100000000002</v>
      </c>
      <c r="E14" s="3">
        <f t="shared" si="0"/>
        <v>2232.7550000000001</v>
      </c>
      <c r="F14">
        <f t="shared" si="1"/>
        <v>2339.5100000000002</v>
      </c>
      <c r="G14">
        <f t="shared" si="2"/>
        <v>2189.5100000000002</v>
      </c>
      <c r="H14">
        <f t="shared" si="3"/>
        <v>2161.5100000000002</v>
      </c>
    </row>
    <row r="15" spans="1:8" x14ac:dyDescent="0.25">
      <c r="A15">
        <v>2296.5843749999999</v>
      </c>
      <c r="B15">
        <v>1908</v>
      </c>
      <c r="C15">
        <v>2095</v>
      </c>
      <c r="D15">
        <v>2311.1999999999998</v>
      </c>
      <c r="E15" s="3">
        <f t="shared" si="0"/>
        <v>2203.1</v>
      </c>
      <c r="F15">
        <f t="shared" si="1"/>
        <v>2311.1999999999998</v>
      </c>
      <c r="G15">
        <f t="shared" si="2"/>
        <v>2161.1999999999998</v>
      </c>
      <c r="H15">
        <f t="shared" si="3"/>
        <v>2133.1999999999998</v>
      </c>
    </row>
    <row r="16" spans="1:8" x14ac:dyDescent="0.25">
      <c r="A16">
        <v>2286.26125</v>
      </c>
      <c r="B16">
        <v>1923</v>
      </c>
      <c r="C16">
        <v>2085</v>
      </c>
      <c r="D16">
        <v>2292.06</v>
      </c>
      <c r="E16" s="3">
        <f t="shared" si="0"/>
        <v>2188.5299999999997</v>
      </c>
      <c r="F16">
        <f t="shared" si="1"/>
        <v>2292.06</v>
      </c>
      <c r="G16">
        <f t="shared" si="2"/>
        <v>2142.06</v>
      </c>
      <c r="H16">
        <f t="shared" si="3"/>
        <v>2114.06</v>
      </c>
    </row>
    <row r="17" spans="1:8" x14ac:dyDescent="0.25">
      <c r="A17">
        <v>2278.8004083333331</v>
      </c>
      <c r="B17">
        <v>1933</v>
      </c>
      <c r="C17">
        <v>2036</v>
      </c>
      <c r="D17">
        <v>2311.9899999999998</v>
      </c>
      <c r="E17" s="3">
        <f t="shared" si="0"/>
        <v>2173.9949999999999</v>
      </c>
      <c r="F17">
        <f t="shared" si="1"/>
        <v>2311.9899999999998</v>
      </c>
      <c r="G17">
        <f t="shared" si="2"/>
        <v>2161.9899999999998</v>
      </c>
      <c r="H17">
        <f t="shared" si="3"/>
        <v>2133.9899999999998</v>
      </c>
    </row>
    <row r="18" spans="1:8" x14ac:dyDescent="0.25">
      <c r="A18">
        <v>2272.130591666667</v>
      </c>
      <c r="B18">
        <v>1911</v>
      </c>
      <c r="C18">
        <v>2031</v>
      </c>
      <c r="D18">
        <v>2289.5</v>
      </c>
      <c r="E18" s="3">
        <f t="shared" si="0"/>
        <v>2160.25</v>
      </c>
      <c r="F18">
        <f t="shared" si="1"/>
        <v>2289.5</v>
      </c>
      <c r="G18">
        <f t="shared" si="2"/>
        <v>2139.5</v>
      </c>
      <c r="H18">
        <f t="shared" si="3"/>
        <v>2111.5</v>
      </c>
    </row>
    <row r="19" spans="1:8" x14ac:dyDescent="0.25">
      <c r="A19">
        <v>2260.7826166666664</v>
      </c>
      <c r="B19">
        <v>1898</v>
      </c>
      <c r="C19">
        <v>2013</v>
      </c>
      <c r="D19">
        <v>2285.7199999999998</v>
      </c>
      <c r="E19" s="3">
        <f t="shared" si="0"/>
        <v>2149.3599999999997</v>
      </c>
      <c r="F19">
        <f t="shared" si="1"/>
        <v>2285.7199999999998</v>
      </c>
      <c r="G19">
        <f t="shared" si="2"/>
        <v>2135.7199999999998</v>
      </c>
      <c r="H19">
        <f t="shared" si="3"/>
        <v>2107.7199999999998</v>
      </c>
    </row>
    <row r="20" spans="1:8" x14ac:dyDescent="0.25">
      <c r="A20">
        <v>2267.9698333333336</v>
      </c>
      <c r="B20">
        <v>1886</v>
      </c>
      <c r="C20">
        <v>2002</v>
      </c>
      <c r="D20">
        <v>2277.0500000000002</v>
      </c>
      <c r="E20" s="3">
        <f t="shared" si="0"/>
        <v>2139.5250000000001</v>
      </c>
      <c r="F20">
        <f t="shared" si="1"/>
        <v>2277.0500000000002</v>
      </c>
      <c r="G20">
        <f t="shared" si="2"/>
        <v>2127.0500000000002</v>
      </c>
      <c r="H20">
        <f t="shared" si="3"/>
        <v>2099.0500000000002</v>
      </c>
    </row>
    <row r="21" spans="1:8" x14ac:dyDescent="0.25">
      <c r="A21">
        <v>2264.4757249999998</v>
      </c>
      <c r="B21">
        <v>1866</v>
      </c>
      <c r="C21">
        <v>1995</v>
      </c>
      <c r="D21">
        <v>2260.29</v>
      </c>
      <c r="E21" s="3">
        <f t="shared" si="0"/>
        <v>2127.645</v>
      </c>
      <c r="F21">
        <f t="shared" si="1"/>
        <v>2260.29</v>
      </c>
      <c r="G21">
        <f t="shared" si="2"/>
        <v>2110.29</v>
      </c>
      <c r="H21">
        <f t="shared" si="3"/>
        <v>2082.29</v>
      </c>
    </row>
    <row r="22" spans="1:8" x14ac:dyDescent="0.25">
      <c r="A22" s="6">
        <v>2271.1869999999999</v>
      </c>
      <c r="B22" s="6">
        <v>1884</v>
      </c>
      <c r="C22" s="6">
        <v>1996</v>
      </c>
      <c r="D22" s="6">
        <v>2268.83</v>
      </c>
      <c r="E22" s="3">
        <f t="shared" si="0"/>
        <v>2132.415</v>
      </c>
      <c r="F22">
        <f t="shared" si="1"/>
        <v>2268.83</v>
      </c>
      <c r="G22">
        <f t="shared" si="2"/>
        <v>2118.83</v>
      </c>
      <c r="H22">
        <f t="shared" si="3"/>
        <v>2090.83</v>
      </c>
    </row>
    <row r="23" spans="1:8" x14ac:dyDescent="0.25">
      <c r="A23">
        <v>2276.2648166666668</v>
      </c>
      <c r="B23">
        <v>1882</v>
      </c>
      <c r="C23">
        <v>1982</v>
      </c>
      <c r="D23">
        <v>2258.2399999999998</v>
      </c>
      <c r="E23" s="3">
        <f t="shared" si="0"/>
        <v>2120.12</v>
      </c>
      <c r="F23">
        <f t="shared" si="1"/>
        <v>2258.2399999999998</v>
      </c>
      <c r="G23">
        <f t="shared" si="2"/>
        <v>2108.2399999999998</v>
      </c>
      <c r="H23">
        <f t="shared" si="3"/>
        <v>2080.2399999999998</v>
      </c>
    </row>
    <row r="24" spans="1:8" x14ac:dyDescent="0.25">
      <c r="A24">
        <v>2296.1017999999999</v>
      </c>
      <c r="B24">
        <v>1915</v>
      </c>
      <c r="C24">
        <v>1982</v>
      </c>
      <c r="D24">
        <v>2287.4</v>
      </c>
      <c r="E24" s="3">
        <f t="shared" si="0"/>
        <v>2134.6999999999998</v>
      </c>
      <c r="F24">
        <f t="shared" si="1"/>
        <v>2287.4</v>
      </c>
      <c r="G24">
        <f t="shared" si="2"/>
        <v>2137.4</v>
      </c>
      <c r="H24">
        <f t="shared" si="3"/>
        <v>2109.4</v>
      </c>
    </row>
    <row r="25" spans="1:8" x14ac:dyDescent="0.25">
      <c r="A25">
        <v>2323.8158666666668</v>
      </c>
      <c r="B25">
        <v>1924</v>
      </c>
      <c r="C25">
        <v>1971</v>
      </c>
      <c r="D25">
        <v>2337</v>
      </c>
      <c r="E25" s="3">
        <f t="shared" si="0"/>
        <v>2154</v>
      </c>
      <c r="F25">
        <f t="shared" si="1"/>
        <v>2337</v>
      </c>
      <c r="G25">
        <f t="shared" si="2"/>
        <v>2187</v>
      </c>
      <c r="H25">
        <f t="shared" si="3"/>
        <v>2159</v>
      </c>
    </row>
    <row r="26" spans="1:8" x14ac:dyDescent="0.25">
      <c r="A26">
        <v>2351.5564666666669</v>
      </c>
      <c r="B26">
        <v>1958</v>
      </c>
      <c r="C26">
        <v>1927</v>
      </c>
      <c r="D26">
        <v>2364</v>
      </c>
      <c r="E26" s="3">
        <f t="shared" si="0"/>
        <v>2145.5</v>
      </c>
      <c r="F26">
        <f t="shared" si="1"/>
        <v>2364</v>
      </c>
      <c r="G26">
        <f t="shared" si="2"/>
        <v>2214</v>
      </c>
      <c r="H26">
        <f t="shared" si="3"/>
        <v>2186</v>
      </c>
    </row>
    <row r="27" spans="1:8" x14ac:dyDescent="0.25">
      <c r="A27">
        <v>2417.0506833333334</v>
      </c>
      <c r="B27">
        <v>2007</v>
      </c>
      <c r="C27">
        <v>1891</v>
      </c>
      <c r="D27">
        <v>2417</v>
      </c>
      <c r="E27" s="3">
        <f t="shared" si="0"/>
        <v>2154</v>
      </c>
      <c r="F27">
        <f t="shared" si="1"/>
        <v>2417</v>
      </c>
      <c r="G27">
        <f t="shared" si="2"/>
        <v>2267</v>
      </c>
      <c r="H27">
        <f t="shared" si="3"/>
        <v>2239</v>
      </c>
    </row>
    <row r="28" spans="1:8" x14ac:dyDescent="0.25">
      <c r="A28">
        <v>2458.7096750000001</v>
      </c>
      <c r="B28">
        <v>2057</v>
      </c>
      <c r="C28">
        <v>1827</v>
      </c>
      <c r="D28">
        <v>2440</v>
      </c>
      <c r="E28" s="3">
        <f t="shared" si="0"/>
        <v>2133.5</v>
      </c>
      <c r="F28">
        <f t="shared" si="1"/>
        <v>2440</v>
      </c>
      <c r="G28">
        <f t="shared" si="2"/>
        <v>2290</v>
      </c>
      <c r="H28">
        <f t="shared" si="3"/>
        <v>2262</v>
      </c>
    </row>
    <row r="29" spans="1:8" x14ac:dyDescent="0.25">
      <c r="A29">
        <v>2491.01235</v>
      </c>
      <c r="B29">
        <v>2110</v>
      </c>
      <c r="C29">
        <v>1846</v>
      </c>
      <c r="D29">
        <v>2449</v>
      </c>
      <c r="E29" s="3">
        <f t="shared" si="0"/>
        <v>2147.5</v>
      </c>
      <c r="F29">
        <f t="shared" si="1"/>
        <v>2449</v>
      </c>
      <c r="G29">
        <f t="shared" si="2"/>
        <v>2299</v>
      </c>
      <c r="H29">
        <f t="shared" si="3"/>
        <v>2271</v>
      </c>
    </row>
    <row r="30" spans="1:8" x14ac:dyDescent="0.25">
      <c r="A30">
        <v>2564.5577750000002</v>
      </c>
      <c r="B30">
        <v>2188</v>
      </c>
      <c r="C30">
        <v>2004</v>
      </c>
      <c r="D30">
        <v>2530</v>
      </c>
      <c r="E30" s="3">
        <f t="shared" si="0"/>
        <v>2267</v>
      </c>
      <c r="F30">
        <f t="shared" si="1"/>
        <v>2530</v>
      </c>
      <c r="G30">
        <f t="shared" si="2"/>
        <v>2380</v>
      </c>
      <c r="H30">
        <f t="shared" si="3"/>
        <v>2352</v>
      </c>
    </row>
    <row r="31" spans="1:8" x14ac:dyDescent="0.25">
      <c r="A31">
        <v>2582.1261583333335</v>
      </c>
      <c r="B31">
        <v>2214</v>
      </c>
      <c r="C31">
        <v>2105</v>
      </c>
      <c r="D31">
        <v>2555</v>
      </c>
      <c r="E31" s="3">
        <f t="shared" si="0"/>
        <v>2330</v>
      </c>
      <c r="F31">
        <f t="shared" si="1"/>
        <v>2555</v>
      </c>
      <c r="G31">
        <f t="shared" si="2"/>
        <v>2405</v>
      </c>
      <c r="H31">
        <f t="shared" si="3"/>
        <v>2377</v>
      </c>
    </row>
    <row r="32" spans="1:8" x14ac:dyDescent="0.25">
      <c r="A32">
        <v>2586.3051583333336</v>
      </c>
      <c r="B32">
        <v>2230</v>
      </c>
      <c r="C32">
        <v>2175</v>
      </c>
      <c r="D32">
        <v>2555</v>
      </c>
      <c r="E32" s="3">
        <f t="shared" si="0"/>
        <v>2365</v>
      </c>
      <c r="F32">
        <f t="shared" si="1"/>
        <v>2555</v>
      </c>
      <c r="G32">
        <f t="shared" si="2"/>
        <v>2405</v>
      </c>
      <c r="H32">
        <f t="shared" si="3"/>
        <v>2377</v>
      </c>
    </row>
    <row r="33" spans="1:8" x14ac:dyDescent="0.25">
      <c r="A33">
        <v>2577.940525</v>
      </c>
      <c r="B33">
        <v>2233</v>
      </c>
      <c r="C33">
        <v>2212</v>
      </c>
      <c r="D33">
        <v>2568</v>
      </c>
      <c r="E33" s="3">
        <f t="shared" si="0"/>
        <v>2390</v>
      </c>
      <c r="F33">
        <f t="shared" si="1"/>
        <v>2568</v>
      </c>
      <c r="G33">
        <f t="shared" si="2"/>
        <v>2418</v>
      </c>
      <c r="H33">
        <f t="shared" si="3"/>
        <v>2390</v>
      </c>
    </row>
    <row r="34" spans="1:8" x14ac:dyDescent="0.25">
      <c r="A34">
        <v>2550.3723916666663</v>
      </c>
      <c r="B34">
        <v>2239</v>
      </c>
      <c r="C34">
        <v>2242</v>
      </c>
      <c r="D34">
        <v>2594</v>
      </c>
      <c r="E34" s="3">
        <f t="shared" ref="E34:E65" si="4">AVERAGE(C34:D34)</f>
        <v>2418</v>
      </c>
      <c r="F34">
        <f t="shared" ref="F34:F65" si="5">MAX(C34:D34)</f>
        <v>2594</v>
      </c>
      <c r="G34">
        <f t="shared" ref="G34:G65" si="6">F34-150</f>
        <v>2444</v>
      </c>
      <c r="H34">
        <f t="shared" ref="H34:H65" si="7">G34-28</f>
        <v>2416</v>
      </c>
    </row>
    <row r="35" spans="1:8" x14ac:dyDescent="0.25">
      <c r="A35" s="7">
        <v>2500.9507416666665</v>
      </c>
      <c r="B35" s="7"/>
      <c r="C35" s="7">
        <v>2240</v>
      </c>
      <c r="D35" s="7">
        <v>2487</v>
      </c>
      <c r="E35" s="3">
        <f t="shared" si="4"/>
        <v>2363.5</v>
      </c>
      <c r="F35">
        <f t="shared" si="5"/>
        <v>2487</v>
      </c>
      <c r="G35">
        <f t="shared" si="6"/>
        <v>2337</v>
      </c>
      <c r="H35">
        <f t="shared" si="7"/>
        <v>2309</v>
      </c>
    </row>
    <row r="36" spans="1:8" x14ac:dyDescent="0.25">
      <c r="A36">
        <v>2504.366908333333</v>
      </c>
      <c r="C36">
        <v>2292</v>
      </c>
      <c r="D36">
        <v>2509</v>
      </c>
      <c r="E36" s="3">
        <f t="shared" si="4"/>
        <v>2400.5</v>
      </c>
      <c r="F36">
        <f t="shared" si="5"/>
        <v>2509</v>
      </c>
      <c r="G36">
        <f t="shared" si="6"/>
        <v>2359</v>
      </c>
      <c r="H36">
        <f t="shared" si="7"/>
        <v>2331</v>
      </c>
    </row>
    <row r="37" spans="1:8" x14ac:dyDescent="0.25">
      <c r="A37">
        <v>2488.0853916666665</v>
      </c>
      <c r="C37">
        <v>2310</v>
      </c>
      <c r="D37">
        <v>2476</v>
      </c>
      <c r="E37" s="3">
        <f t="shared" si="4"/>
        <v>2393</v>
      </c>
      <c r="F37">
        <f t="shared" si="5"/>
        <v>2476</v>
      </c>
      <c r="G37">
        <f t="shared" si="6"/>
        <v>2326</v>
      </c>
      <c r="H37">
        <f t="shared" si="7"/>
        <v>2298</v>
      </c>
    </row>
    <row r="38" spans="1:8" x14ac:dyDescent="0.25">
      <c r="A38">
        <v>2496.7468666666668</v>
      </c>
      <c r="C38">
        <v>2313</v>
      </c>
      <c r="D38">
        <v>2524</v>
      </c>
      <c r="E38" s="3">
        <f t="shared" si="4"/>
        <v>2418.5</v>
      </c>
      <c r="F38">
        <f t="shared" si="5"/>
        <v>2524</v>
      </c>
      <c r="G38">
        <f t="shared" si="6"/>
        <v>2374</v>
      </c>
      <c r="H38">
        <f t="shared" si="7"/>
        <v>2346</v>
      </c>
    </row>
    <row r="39" spans="1:8" x14ac:dyDescent="0.25">
      <c r="A39">
        <v>2443.6470333333332</v>
      </c>
      <c r="C39">
        <v>2288</v>
      </c>
      <c r="D39">
        <v>2524</v>
      </c>
      <c r="E39" s="3">
        <f t="shared" si="4"/>
        <v>2406</v>
      </c>
      <c r="F39">
        <f t="shared" si="5"/>
        <v>2524</v>
      </c>
      <c r="G39">
        <f t="shared" si="6"/>
        <v>2374</v>
      </c>
      <c r="H39">
        <f t="shared" si="7"/>
        <v>2346</v>
      </c>
    </row>
    <row r="40" spans="1:8" x14ac:dyDescent="0.25">
      <c r="A40">
        <v>2420.5613749999998</v>
      </c>
      <c r="C40">
        <v>2239</v>
      </c>
      <c r="D40">
        <v>2524</v>
      </c>
      <c r="E40" s="3">
        <f t="shared" si="4"/>
        <v>2381.5</v>
      </c>
      <c r="F40">
        <f t="shared" si="5"/>
        <v>2524</v>
      </c>
      <c r="G40">
        <f t="shared" si="6"/>
        <v>2374</v>
      </c>
      <c r="H40">
        <f t="shared" si="7"/>
        <v>2346</v>
      </c>
    </row>
    <row r="41" spans="1:8" x14ac:dyDescent="0.25">
      <c r="A41">
        <v>2392.3846333333336</v>
      </c>
      <c r="C41">
        <v>2237</v>
      </c>
      <c r="D41">
        <v>2451</v>
      </c>
      <c r="E41" s="3">
        <f t="shared" si="4"/>
        <v>2344</v>
      </c>
      <c r="F41">
        <f t="shared" si="5"/>
        <v>2451</v>
      </c>
      <c r="G41">
        <f t="shared" si="6"/>
        <v>2301</v>
      </c>
      <c r="H41">
        <f t="shared" si="7"/>
        <v>2273</v>
      </c>
    </row>
    <row r="42" spans="1:8" x14ac:dyDescent="0.25">
      <c r="A42">
        <v>2363.0570083333337</v>
      </c>
      <c r="C42">
        <v>2228</v>
      </c>
      <c r="D42">
        <v>2407</v>
      </c>
      <c r="E42" s="3">
        <f t="shared" si="4"/>
        <v>2317.5</v>
      </c>
      <c r="F42">
        <f t="shared" si="5"/>
        <v>2407</v>
      </c>
      <c r="G42">
        <f t="shared" si="6"/>
        <v>2257</v>
      </c>
      <c r="H42">
        <f t="shared" si="7"/>
        <v>2229</v>
      </c>
    </row>
    <row r="43" spans="1:8" x14ac:dyDescent="0.25">
      <c r="A43" s="6">
        <v>2325.0513249999999</v>
      </c>
      <c r="B43" s="6"/>
      <c r="C43" s="6">
        <v>2183</v>
      </c>
      <c r="D43" s="6">
        <v>2380</v>
      </c>
      <c r="E43" s="3">
        <f t="shared" si="4"/>
        <v>2281.5</v>
      </c>
      <c r="F43">
        <f t="shared" si="5"/>
        <v>2380</v>
      </c>
      <c r="G43">
        <f t="shared" si="6"/>
        <v>2230</v>
      </c>
      <c r="H43">
        <f t="shared" si="7"/>
        <v>2202</v>
      </c>
    </row>
    <row r="44" spans="1:8" x14ac:dyDescent="0.25">
      <c r="A44">
        <v>2295.1863999999996</v>
      </c>
      <c r="C44">
        <v>2170</v>
      </c>
      <c r="D44">
        <v>2371</v>
      </c>
      <c r="E44" s="3">
        <f t="shared" si="4"/>
        <v>2270.5</v>
      </c>
      <c r="F44">
        <f t="shared" si="5"/>
        <v>2371</v>
      </c>
      <c r="G44">
        <f t="shared" si="6"/>
        <v>2221</v>
      </c>
      <c r="H44">
        <f t="shared" si="7"/>
        <v>2193</v>
      </c>
    </row>
    <row r="45" spans="1:8" x14ac:dyDescent="0.25">
      <c r="A45">
        <v>2266.8769916666665</v>
      </c>
      <c r="C45">
        <v>2158</v>
      </c>
      <c r="D45">
        <v>2337</v>
      </c>
      <c r="E45" s="3">
        <f t="shared" si="4"/>
        <v>2247.5</v>
      </c>
      <c r="F45">
        <f t="shared" si="5"/>
        <v>2337</v>
      </c>
      <c r="G45">
        <f t="shared" si="6"/>
        <v>2187</v>
      </c>
      <c r="H45">
        <f t="shared" si="7"/>
        <v>2159</v>
      </c>
    </row>
    <row r="46" spans="1:8" x14ac:dyDescent="0.25">
      <c r="A46">
        <v>2256.1392833333334</v>
      </c>
      <c r="C46">
        <v>2118</v>
      </c>
      <c r="D46">
        <v>2338</v>
      </c>
      <c r="E46" s="3">
        <f t="shared" si="4"/>
        <v>2228</v>
      </c>
      <c r="F46">
        <f t="shared" si="5"/>
        <v>2338</v>
      </c>
      <c r="G46">
        <f t="shared" si="6"/>
        <v>2188</v>
      </c>
      <c r="H46">
        <f t="shared" si="7"/>
        <v>2160</v>
      </c>
    </row>
    <row r="47" spans="1:8" x14ac:dyDescent="0.25">
      <c r="A47">
        <v>2211.3742333333339</v>
      </c>
      <c r="C47">
        <v>2122</v>
      </c>
      <c r="D47">
        <v>2320</v>
      </c>
      <c r="E47" s="3">
        <f t="shared" si="4"/>
        <v>2221</v>
      </c>
      <c r="F47">
        <f t="shared" si="5"/>
        <v>2320</v>
      </c>
      <c r="G47">
        <f t="shared" si="6"/>
        <v>2170</v>
      </c>
      <c r="H47">
        <f t="shared" si="7"/>
        <v>2142</v>
      </c>
    </row>
    <row r="48" spans="1:8" x14ac:dyDescent="0.25">
      <c r="A48">
        <v>2182.4611916666668</v>
      </c>
      <c r="C48">
        <v>2076</v>
      </c>
      <c r="D48">
        <v>2271</v>
      </c>
      <c r="E48" s="3">
        <f t="shared" si="4"/>
        <v>2173.5</v>
      </c>
      <c r="F48">
        <f t="shared" si="5"/>
        <v>2271</v>
      </c>
      <c r="G48">
        <f t="shared" si="6"/>
        <v>2121</v>
      </c>
      <c r="H48">
        <f t="shared" si="7"/>
        <v>2093</v>
      </c>
    </row>
    <row r="49" spans="1:8" x14ac:dyDescent="0.25">
      <c r="A49">
        <v>2135.129041666667</v>
      </c>
      <c r="C49">
        <v>2022</v>
      </c>
      <c r="D49">
        <v>2199</v>
      </c>
      <c r="E49" s="3">
        <f t="shared" si="4"/>
        <v>2110.5</v>
      </c>
      <c r="F49">
        <f t="shared" si="5"/>
        <v>2199</v>
      </c>
      <c r="G49">
        <f t="shared" si="6"/>
        <v>2049</v>
      </c>
      <c r="H49">
        <f t="shared" si="7"/>
        <v>2021</v>
      </c>
    </row>
    <row r="50" spans="1:8" x14ac:dyDescent="0.25">
      <c r="A50">
        <v>2062.4675083333332</v>
      </c>
      <c r="C50">
        <v>1950</v>
      </c>
      <c r="D50">
        <v>2152</v>
      </c>
      <c r="E50" s="3">
        <f t="shared" si="4"/>
        <v>2051</v>
      </c>
      <c r="F50">
        <f t="shared" si="5"/>
        <v>2152</v>
      </c>
      <c r="G50">
        <f t="shared" si="6"/>
        <v>2002</v>
      </c>
      <c r="H50">
        <f t="shared" si="7"/>
        <v>1974</v>
      </c>
    </row>
    <row r="51" spans="1:8" x14ac:dyDescent="0.25">
      <c r="A51">
        <v>1997.7311499999998</v>
      </c>
      <c r="C51">
        <v>1935</v>
      </c>
      <c r="D51">
        <v>2097</v>
      </c>
      <c r="E51" s="3">
        <f t="shared" si="4"/>
        <v>2016</v>
      </c>
      <c r="F51">
        <f t="shared" si="5"/>
        <v>2097</v>
      </c>
      <c r="G51">
        <f t="shared" si="6"/>
        <v>1947</v>
      </c>
      <c r="H51">
        <f t="shared" si="7"/>
        <v>1919</v>
      </c>
    </row>
    <row r="52" spans="1:8" x14ac:dyDescent="0.25">
      <c r="A52">
        <v>1983.4247083333332</v>
      </c>
      <c r="C52">
        <v>1949</v>
      </c>
      <c r="D52">
        <v>2067</v>
      </c>
      <c r="E52" s="3">
        <f t="shared" si="4"/>
        <v>2008</v>
      </c>
      <c r="F52">
        <f t="shared" si="5"/>
        <v>2067</v>
      </c>
      <c r="G52">
        <f t="shared" si="6"/>
        <v>1917</v>
      </c>
      <c r="H52">
        <f t="shared" si="7"/>
        <v>1889</v>
      </c>
    </row>
    <row r="53" spans="1:8" x14ac:dyDescent="0.25">
      <c r="A53">
        <v>1934.8405166666666</v>
      </c>
      <c r="C53">
        <v>1932</v>
      </c>
      <c r="D53">
        <v>2026</v>
      </c>
      <c r="E53" s="3">
        <f t="shared" si="4"/>
        <v>1979</v>
      </c>
      <c r="F53">
        <f t="shared" si="5"/>
        <v>2026</v>
      </c>
      <c r="G53">
        <f t="shared" si="6"/>
        <v>1876</v>
      </c>
      <c r="H53">
        <f t="shared" si="7"/>
        <v>1848</v>
      </c>
    </row>
    <row r="54" spans="1:8" x14ac:dyDescent="0.25">
      <c r="A54">
        <v>1950.3973416666663</v>
      </c>
      <c r="C54">
        <v>1975</v>
      </c>
      <c r="D54">
        <v>2047</v>
      </c>
      <c r="E54" s="3">
        <f t="shared" si="4"/>
        <v>2011</v>
      </c>
      <c r="F54">
        <f t="shared" si="5"/>
        <v>2047</v>
      </c>
      <c r="G54">
        <f t="shared" si="6"/>
        <v>1897</v>
      </c>
      <c r="H54">
        <f t="shared" si="7"/>
        <v>1869</v>
      </c>
    </row>
    <row r="55" spans="1:8" x14ac:dyDescent="0.25">
      <c r="A55">
        <v>1949.8102916666669</v>
      </c>
      <c r="C55">
        <v>2006</v>
      </c>
      <c r="D55">
        <v>2091</v>
      </c>
      <c r="E55" s="3">
        <f t="shared" si="4"/>
        <v>2048.5</v>
      </c>
      <c r="F55">
        <f t="shared" si="5"/>
        <v>2091</v>
      </c>
      <c r="G55">
        <f t="shared" si="6"/>
        <v>1941</v>
      </c>
      <c r="H55">
        <f t="shared" si="7"/>
        <v>1913</v>
      </c>
    </row>
    <row r="56" spans="1:8" x14ac:dyDescent="0.25">
      <c r="A56">
        <v>1958.6027749999996</v>
      </c>
      <c r="C56">
        <v>2003</v>
      </c>
      <c r="D56">
        <v>2072</v>
      </c>
      <c r="E56" s="3">
        <f t="shared" si="4"/>
        <v>2037.5</v>
      </c>
      <c r="F56">
        <f t="shared" si="5"/>
        <v>2072</v>
      </c>
      <c r="G56">
        <f t="shared" si="6"/>
        <v>1922</v>
      </c>
      <c r="H56">
        <f t="shared" si="7"/>
        <v>1894</v>
      </c>
    </row>
    <row r="57" spans="1:8" x14ac:dyDescent="0.25">
      <c r="A57">
        <v>1973.1563083333333</v>
      </c>
      <c r="C57">
        <v>2059</v>
      </c>
      <c r="D57">
        <v>2097</v>
      </c>
      <c r="E57" s="3">
        <f t="shared" si="4"/>
        <v>2078</v>
      </c>
      <c r="F57">
        <f t="shared" si="5"/>
        <v>2097</v>
      </c>
      <c r="G57">
        <f t="shared" si="6"/>
        <v>1947</v>
      </c>
      <c r="H57">
        <f t="shared" si="7"/>
        <v>1919</v>
      </c>
    </row>
    <row r="58" spans="1:8" x14ac:dyDescent="0.25">
      <c r="A58">
        <v>1973.0783666666664</v>
      </c>
      <c r="C58">
        <v>2078</v>
      </c>
      <c r="D58">
        <v>2067</v>
      </c>
      <c r="E58" s="3">
        <f t="shared" si="4"/>
        <v>2072.5</v>
      </c>
      <c r="F58">
        <f t="shared" si="5"/>
        <v>2078</v>
      </c>
      <c r="G58">
        <f t="shared" si="6"/>
        <v>1928</v>
      </c>
      <c r="H58">
        <f t="shared" si="7"/>
        <v>1900</v>
      </c>
    </row>
    <row r="59" spans="1:8" x14ac:dyDescent="0.25">
      <c r="A59">
        <v>1970.4615166666667</v>
      </c>
      <c r="C59">
        <v>2049</v>
      </c>
      <c r="D59">
        <v>2070</v>
      </c>
      <c r="E59" s="3">
        <f t="shared" si="4"/>
        <v>2059.5</v>
      </c>
      <c r="F59">
        <f t="shared" si="5"/>
        <v>2070</v>
      </c>
      <c r="G59">
        <f t="shared" si="6"/>
        <v>1920</v>
      </c>
      <c r="H59">
        <f t="shared" si="7"/>
        <v>1892</v>
      </c>
    </row>
    <row r="60" spans="1:8" x14ac:dyDescent="0.25">
      <c r="A60">
        <v>1980.0184916666665</v>
      </c>
      <c r="C60">
        <v>2055</v>
      </c>
      <c r="D60">
        <v>2080</v>
      </c>
      <c r="E60" s="3">
        <f t="shared" si="4"/>
        <v>2067.5</v>
      </c>
      <c r="F60">
        <f t="shared" si="5"/>
        <v>2080</v>
      </c>
      <c r="G60">
        <f t="shared" si="6"/>
        <v>1930</v>
      </c>
      <c r="H60">
        <f t="shared" si="7"/>
        <v>1902</v>
      </c>
    </row>
    <row r="61" spans="1:8" x14ac:dyDescent="0.25">
      <c r="A61">
        <v>1973.5029</v>
      </c>
      <c r="C61">
        <v>2068</v>
      </c>
      <c r="D61">
        <v>2035</v>
      </c>
      <c r="E61" s="3">
        <f t="shared" si="4"/>
        <v>2051.5</v>
      </c>
      <c r="F61">
        <f t="shared" si="5"/>
        <v>2068</v>
      </c>
      <c r="G61">
        <f t="shared" si="6"/>
        <v>1918</v>
      </c>
      <c r="H61">
        <f t="shared" si="7"/>
        <v>1890</v>
      </c>
    </row>
    <row r="62" spans="1:8" x14ac:dyDescent="0.25">
      <c r="A62">
        <v>1973.6554666666668</v>
      </c>
      <c r="C62">
        <v>2076</v>
      </c>
      <c r="D62">
        <v>2053</v>
      </c>
      <c r="E62" s="3">
        <f t="shared" si="4"/>
        <v>2064.5</v>
      </c>
      <c r="F62">
        <f t="shared" si="5"/>
        <v>2076</v>
      </c>
      <c r="G62">
        <f t="shared" si="6"/>
        <v>1926</v>
      </c>
      <c r="H62">
        <f t="shared" si="7"/>
        <v>1898</v>
      </c>
    </row>
    <row r="63" spans="1:8" x14ac:dyDescent="0.25">
      <c r="A63">
        <v>1974.9124833333331</v>
      </c>
      <c r="C63">
        <v>2089</v>
      </c>
      <c r="D63">
        <v>2057</v>
      </c>
      <c r="E63" s="3">
        <f t="shared" si="4"/>
        <v>2073</v>
      </c>
      <c r="F63">
        <f t="shared" si="5"/>
        <v>2089</v>
      </c>
      <c r="G63">
        <f t="shared" si="6"/>
        <v>1939</v>
      </c>
      <c r="H63">
        <f t="shared" si="7"/>
        <v>1911</v>
      </c>
    </row>
    <row r="64" spans="1:8" x14ac:dyDescent="0.25">
      <c r="A64">
        <v>1973.3138499999998</v>
      </c>
      <c r="C64">
        <v>2078</v>
      </c>
      <c r="D64">
        <v>1987</v>
      </c>
      <c r="E64" s="3">
        <f t="shared" si="4"/>
        <v>2032.5</v>
      </c>
      <c r="F64">
        <f t="shared" si="5"/>
        <v>2078</v>
      </c>
      <c r="G64">
        <f t="shared" si="6"/>
        <v>1928</v>
      </c>
      <c r="H64">
        <f t="shared" si="7"/>
        <v>1900</v>
      </c>
    </row>
    <row r="65" spans="1:8" x14ac:dyDescent="0.25">
      <c r="A65">
        <v>1965.4964666666665</v>
      </c>
      <c r="C65">
        <v>2106</v>
      </c>
      <c r="D65">
        <v>1974</v>
      </c>
      <c r="E65" s="3">
        <f t="shared" si="4"/>
        <v>2040</v>
      </c>
      <c r="F65">
        <f t="shared" si="5"/>
        <v>2106</v>
      </c>
      <c r="G65">
        <f t="shared" si="6"/>
        <v>1956</v>
      </c>
      <c r="H65">
        <f t="shared" si="7"/>
        <v>1928</v>
      </c>
    </row>
    <row r="66" spans="1:8" x14ac:dyDescent="0.25">
      <c r="A66">
        <v>1947.9512999999999</v>
      </c>
      <c r="C66">
        <v>2102</v>
      </c>
      <c r="D66">
        <v>1925</v>
      </c>
      <c r="E66" s="3">
        <f t="shared" ref="E66:E97" si="8">AVERAGE(C66:D66)</f>
        <v>2013.5</v>
      </c>
      <c r="F66">
        <f t="shared" ref="F66:F97" si="9">MAX(C66:D66)</f>
        <v>2102</v>
      </c>
      <c r="G66">
        <f t="shared" ref="G66:G97" si="10">F66-150</f>
        <v>1952</v>
      </c>
      <c r="H66">
        <f t="shared" ref="H66:H97" si="11">G66-28</f>
        <v>1924</v>
      </c>
    </row>
    <row r="67" spans="1:8" x14ac:dyDescent="0.25">
      <c r="A67">
        <v>1950.5847333333331</v>
      </c>
      <c r="C67">
        <v>2102</v>
      </c>
      <c r="D67">
        <v>1920</v>
      </c>
      <c r="E67" s="3">
        <f t="shared" si="8"/>
        <v>2011</v>
      </c>
      <c r="F67">
        <f t="shared" si="9"/>
        <v>2102</v>
      </c>
      <c r="G67">
        <f t="shared" si="10"/>
        <v>1952</v>
      </c>
      <c r="H67">
        <f t="shared" si="11"/>
        <v>1924</v>
      </c>
    </row>
    <row r="68" spans="1:8" x14ac:dyDescent="0.25">
      <c r="A68">
        <v>1944.5152333333333</v>
      </c>
      <c r="C68">
        <v>2082</v>
      </c>
      <c r="D68">
        <v>1912</v>
      </c>
      <c r="E68" s="3">
        <f t="shared" si="8"/>
        <v>1997</v>
      </c>
      <c r="F68">
        <f t="shared" si="9"/>
        <v>2082</v>
      </c>
      <c r="G68">
        <f t="shared" si="10"/>
        <v>1932</v>
      </c>
      <c r="H68">
        <f t="shared" si="11"/>
        <v>1904</v>
      </c>
    </row>
    <row r="69" spans="1:8" x14ac:dyDescent="0.25">
      <c r="A69">
        <v>1958.9792166666668</v>
      </c>
      <c r="C69">
        <v>2041</v>
      </c>
      <c r="D69">
        <v>1895</v>
      </c>
      <c r="E69" s="3">
        <f t="shared" si="8"/>
        <v>1968</v>
      </c>
      <c r="F69">
        <f t="shared" si="9"/>
        <v>2041</v>
      </c>
      <c r="G69">
        <f t="shared" si="10"/>
        <v>1891</v>
      </c>
      <c r="H69">
        <f t="shared" si="11"/>
        <v>1863</v>
      </c>
    </row>
    <row r="70" spans="1:8" x14ac:dyDescent="0.25">
      <c r="A70">
        <v>1962.2411583333333</v>
      </c>
      <c r="C70">
        <v>2022</v>
      </c>
      <c r="D70">
        <v>1883</v>
      </c>
      <c r="E70" s="3">
        <f t="shared" si="8"/>
        <v>1952.5</v>
      </c>
      <c r="F70">
        <f t="shared" si="9"/>
        <v>2022</v>
      </c>
      <c r="G70">
        <f t="shared" si="10"/>
        <v>1872</v>
      </c>
      <c r="H70">
        <f t="shared" si="11"/>
        <v>1844</v>
      </c>
    </row>
    <row r="71" spans="1:8" x14ac:dyDescent="0.25">
      <c r="A71">
        <v>1963.557875</v>
      </c>
      <c r="C71">
        <v>1989</v>
      </c>
      <c r="D71">
        <v>1908</v>
      </c>
      <c r="E71" s="3">
        <f t="shared" si="8"/>
        <v>1948.5</v>
      </c>
      <c r="F71">
        <f t="shared" si="9"/>
        <v>1989</v>
      </c>
      <c r="G71">
        <f t="shared" si="10"/>
        <v>1839</v>
      </c>
      <c r="H71">
        <f t="shared" si="11"/>
        <v>1811</v>
      </c>
    </row>
    <row r="72" spans="1:8" x14ac:dyDescent="0.25">
      <c r="A72">
        <v>1982.1179416666664</v>
      </c>
      <c r="C72">
        <v>1911</v>
      </c>
      <c r="D72">
        <v>1928</v>
      </c>
      <c r="E72" s="3">
        <f t="shared" si="8"/>
        <v>1919.5</v>
      </c>
      <c r="F72">
        <f t="shared" si="9"/>
        <v>1928</v>
      </c>
      <c r="G72">
        <f t="shared" si="10"/>
        <v>1778</v>
      </c>
      <c r="H72">
        <f t="shared" si="11"/>
        <v>1750</v>
      </c>
    </row>
    <row r="73" spans="1:8" x14ac:dyDescent="0.25">
      <c r="A73">
        <v>2007.1405333333335</v>
      </c>
      <c r="C73">
        <v>1896</v>
      </c>
      <c r="D73">
        <v>1960</v>
      </c>
      <c r="E73" s="3">
        <f t="shared" si="8"/>
        <v>1928</v>
      </c>
      <c r="F73">
        <f t="shared" si="9"/>
        <v>1960</v>
      </c>
      <c r="G73">
        <f t="shared" si="10"/>
        <v>1810</v>
      </c>
      <c r="H73">
        <f t="shared" si="11"/>
        <v>1782</v>
      </c>
    </row>
    <row r="74" spans="1:8" x14ac:dyDescent="0.25">
      <c r="A74" s="7">
        <v>2016.9727916666666</v>
      </c>
      <c r="B74" s="7"/>
      <c r="C74" s="7">
        <v>1876</v>
      </c>
      <c r="D74" s="7">
        <v>1988</v>
      </c>
      <c r="E74" s="3">
        <f t="shared" si="8"/>
        <v>1932</v>
      </c>
      <c r="F74">
        <f t="shared" si="9"/>
        <v>1988</v>
      </c>
      <c r="G74">
        <f t="shared" si="10"/>
        <v>1838</v>
      </c>
      <c r="H74">
        <f t="shared" si="11"/>
        <v>1810</v>
      </c>
    </row>
    <row r="75" spans="1:8" x14ac:dyDescent="0.25">
      <c r="A75" s="6">
        <v>1994.4725249999999</v>
      </c>
      <c r="B75" s="6"/>
      <c r="C75" s="6">
        <v>1842</v>
      </c>
      <c r="D75" s="6">
        <v>1954</v>
      </c>
      <c r="E75" s="3">
        <f t="shared" si="8"/>
        <v>1898</v>
      </c>
      <c r="F75">
        <f t="shared" si="9"/>
        <v>1954</v>
      </c>
      <c r="G75">
        <f t="shared" si="10"/>
        <v>1804</v>
      </c>
      <c r="H75">
        <f t="shared" si="11"/>
        <v>1776</v>
      </c>
    </row>
    <row r="76" spans="1:8" x14ac:dyDescent="0.25">
      <c r="A76">
        <v>2017.2182250000003</v>
      </c>
      <c r="C76">
        <v>1843</v>
      </c>
      <c r="D76">
        <v>1977</v>
      </c>
      <c r="E76" s="3">
        <f t="shared" si="8"/>
        <v>1910</v>
      </c>
      <c r="F76">
        <f t="shared" si="9"/>
        <v>1977</v>
      </c>
      <c r="G76">
        <f t="shared" si="10"/>
        <v>1827</v>
      </c>
      <c r="H76">
        <f t="shared" si="11"/>
        <v>1799</v>
      </c>
    </row>
    <row r="77" spans="1:8" x14ac:dyDescent="0.25">
      <c r="A77">
        <v>2070.4142416666664</v>
      </c>
      <c r="C77">
        <v>1920</v>
      </c>
      <c r="D77">
        <v>2044</v>
      </c>
      <c r="E77" s="3">
        <f t="shared" si="8"/>
        <v>1982</v>
      </c>
      <c r="F77">
        <f t="shared" si="9"/>
        <v>2044</v>
      </c>
      <c r="G77">
        <f t="shared" si="10"/>
        <v>1894</v>
      </c>
      <c r="H77">
        <f t="shared" si="11"/>
        <v>1866</v>
      </c>
    </row>
    <row r="78" spans="1:8" x14ac:dyDescent="0.25">
      <c r="A78">
        <v>2210.4157166666664</v>
      </c>
      <c r="C78">
        <v>2043</v>
      </c>
      <c r="D78">
        <v>2188</v>
      </c>
      <c r="E78" s="3">
        <f t="shared" si="8"/>
        <v>2115.5</v>
      </c>
      <c r="F78">
        <f t="shared" si="9"/>
        <v>2188</v>
      </c>
      <c r="G78">
        <f t="shared" si="10"/>
        <v>2038</v>
      </c>
      <c r="H78">
        <f t="shared" si="11"/>
        <v>2010</v>
      </c>
    </row>
    <row r="79" spans="1:8" x14ac:dyDescent="0.25">
      <c r="A79">
        <v>2333.1522833333333</v>
      </c>
      <c r="C79">
        <v>2208</v>
      </c>
      <c r="D79">
        <v>2332</v>
      </c>
      <c r="E79" s="3">
        <f t="shared" si="8"/>
        <v>2270</v>
      </c>
      <c r="F79">
        <f t="shared" si="9"/>
        <v>2332</v>
      </c>
      <c r="G79">
        <f t="shared" si="10"/>
        <v>2182</v>
      </c>
      <c r="H79">
        <f t="shared" si="11"/>
        <v>2154</v>
      </c>
    </row>
    <row r="80" spans="1:8" x14ac:dyDescent="0.25">
      <c r="A80">
        <v>2409.9795499999996</v>
      </c>
      <c r="C80">
        <v>2200</v>
      </c>
      <c r="D80">
        <v>2385</v>
      </c>
      <c r="E80" s="3">
        <f t="shared" si="8"/>
        <v>2292.5</v>
      </c>
      <c r="F80">
        <f t="shared" si="9"/>
        <v>2385</v>
      </c>
      <c r="G80">
        <f t="shared" si="10"/>
        <v>2235</v>
      </c>
      <c r="H80">
        <f t="shared" si="11"/>
        <v>2207</v>
      </c>
    </row>
    <row r="81" spans="1:8" x14ac:dyDescent="0.25">
      <c r="A81">
        <v>2449.5390916666665</v>
      </c>
      <c r="C81">
        <v>2070</v>
      </c>
      <c r="D81">
        <v>2437</v>
      </c>
      <c r="E81" s="3">
        <f t="shared" si="8"/>
        <v>2253.5</v>
      </c>
      <c r="F81">
        <f t="shared" si="9"/>
        <v>2437</v>
      </c>
      <c r="G81">
        <f t="shared" si="10"/>
        <v>2287</v>
      </c>
      <c r="H81">
        <f t="shared" si="11"/>
        <v>2259</v>
      </c>
    </row>
    <row r="82" spans="1:8" x14ac:dyDescent="0.25">
      <c r="A82">
        <v>2456.8075666666664</v>
      </c>
      <c r="C82">
        <v>2023</v>
      </c>
      <c r="D82">
        <v>2414</v>
      </c>
      <c r="E82" s="3">
        <f t="shared" si="8"/>
        <v>2218.5</v>
      </c>
      <c r="F82">
        <f t="shared" si="9"/>
        <v>2414</v>
      </c>
      <c r="G82">
        <f t="shared" si="10"/>
        <v>2264</v>
      </c>
      <c r="H82">
        <f t="shared" si="11"/>
        <v>2236</v>
      </c>
    </row>
    <row r="83" spans="1:8" x14ac:dyDescent="0.25">
      <c r="A83">
        <v>2430.3090583333337</v>
      </c>
      <c r="C83">
        <v>1964</v>
      </c>
      <c r="D83">
        <v>2412</v>
      </c>
      <c r="E83" s="3">
        <f t="shared" si="8"/>
        <v>2188</v>
      </c>
      <c r="F83">
        <f t="shared" si="9"/>
        <v>2412</v>
      </c>
      <c r="G83">
        <f t="shared" si="10"/>
        <v>2262</v>
      </c>
      <c r="H83">
        <f t="shared" si="11"/>
        <v>2234</v>
      </c>
    </row>
    <row r="84" spans="1:8" x14ac:dyDescent="0.25">
      <c r="A84">
        <v>2403.4390833333337</v>
      </c>
      <c r="C84">
        <v>1894</v>
      </c>
      <c r="D84">
        <v>2380</v>
      </c>
      <c r="E84" s="3">
        <f t="shared" si="8"/>
        <v>2137</v>
      </c>
      <c r="F84">
        <f t="shared" si="9"/>
        <v>2380</v>
      </c>
      <c r="G84">
        <f t="shared" si="10"/>
        <v>2230</v>
      </c>
      <c r="H84">
        <f t="shared" si="11"/>
        <v>2202</v>
      </c>
    </row>
    <row r="85" spans="1:8" x14ac:dyDescent="0.25">
      <c r="A85">
        <v>2400.1340250000003</v>
      </c>
      <c r="C85">
        <v>1790</v>
      </c>
      <c r="D85">
        <v>2377</v>
      </c>
      <c r="E85" s="3">
        <f t="shared" si="8"/>
        <v>2083.5</v>
      </c>
      <c r="F85">
        <f t="shared" si="9"/>
        <v>2377</v>
      </c>
      <c r="G85">
        <f t="shared" si="10"/>
        <v>2227</v>
      </c>
      <c r="H85">
        <f t="shared" si="11"/>
        <v>2199</v>
      </c>
    </row>
    <row r="86" spans="1:8" x14ac:dyDescent="0.25">
      <c r="A86">
        <v>2352.7554416666667</v>
      </c>
      <c r="C86">
        <v>1657</v>
      </c>
      <c r="D86">
        <v>2399</v>
      </c>
      <c r="E86" s="3">
        <f t="shared" si="8"/>
        <v>2028</v>
      </c>
      <c r="F86">
        <f t="shared" si="9"/>
        <v>2399</v>
      </c>
      <c r="G86">
        <f t="shared" si="10"/>
        <v>2249</v>
      </c>
      <c r="H86">
        <f t="shared" si="11"/>
        <v>2221</v>
      </c>
    </row>
    <row r="87" spans="1:8" x14ac:dyDescent="0.25">
      <c r="A87">
        <v>2313.4081666666666</v>
      </c>
      <c r="C87">
        <v>1581</v>
      </c>
      <c r="D87">
        <v>2367</v>
      </c>
      <c r="E87" s="3">
        <f t="shared" si="8"/>
        <v>1974</v>
      </c>
      <c r="F87">
        <f t="shared" si="9"/>
        <v>2367</v>
      </c>
      <c r="G87">
        <f t="shared" si="10"/>
        <v>2217</v>
      </c>
      <c r="H87">
        <f t="shared" si="11"/>
        <v>2189</v>
      </c>
    </row>
    <row r="88" spans="1:8" x14ac:dyDescent="0.25">
      <c r="A88">
        <v>2306.7167916666667</v>
      </c>
      <c r="C88">
        <v>1652</v>
      </c>
      <c r="D88">
        <v>2325</v>
      </c>
      <c r="E88" s="3">
        <f t="shared" si="8"/>
        <v>1988.5</v>
      </c>
      <c r="F88">
        <f t="shared" si="9"/>
        <v>2325</v>
      </c>
      <c r="G88">
        <f t="shared" si="10"/>
        <v>2175</v>
      </c>
      <c r="H88">
        <f t="shared" si="11"/>
        <v>2147</v>
      </c>
    </row>
    <row r="89" spans="1:8" x14ac:dyDescent="0.25">
      <c r="A89">
        <v>2278.0209916666672</v>
      </c>
      <c r="C89">
        <v>1716</v>
      </c>
      <c r="D89">
        <v>2326</v>
      </c>
      <c r="E89" s="3">
        <f t="shared" si="8"/>
        <v>2021</v>
      </c>
      <c r="F89">
        <f t="shared" si="9"/>
        <v>2326</v>
      </c>
      <c r="G89">
        <f t="shared" si="10"/>
        <v>2176</v>
      </c>
      <c r="H89">
        <f t="shared" si="11"/>
        <v>2148</v>
      </c>
    </row>
    <row r="90" spans="1:8" x14ac:dyDescent="0.25">
      <c r="A90" s="6">
        <v>2252.366575</v>
      </c>
      <c r="B90" s="6"/>
      <c r="C90" s="6">
        <v>1745</v>
      </c>
      <c r="D90" s="6">
        <v>2335</v>
      </c>
      <c r="E90" s="3">
        <f t="shared" si="8"/>
        <v>2040</v>
      </c>
      <c r="F90">
        <f t="shared" si="9"/>
        <v>2335</v>
      </c>
      <c r="G90">
        <f t="shared" si="10"/>
        <v>2185</v>
      </c>
      <c r="H90">
        <f t="shared" si="11"/>
        <v>2157</v>
      </c>
    </row>
    <row r="91" spans="1:8" x14ac:dyDescent="0.25">
      <c r="A91">
        <v>2306.4083416666667</v>
      </c>
      <c r="C91">
        <v>1788</v>
      </c>
      <c r="D91">
        <v>2414</v>
      </c>
      <c r="E91" s="3">
        <f t="shared" si="8"/>
        <v>2101</v>
      </c>
      <c r="F91">
        <f t="shared" si="9"/>
        <v>2414</v>
      </c>
      <c r="G91">
        <f t="shared" si="10"/>
        <v>2264</v>
      </c>
      <c r="H91">
        <f t="shared" si="11"/>
        <v>2236</v>
      </c>
    </row>
    <row r="92" spans="1:8" x14ac:dyDescent="0.25">
      <c r="A92">
        <v>2379.2473166666668</v>
      </c>
      <c r="C92">
        <v>1846</v>
      </c>
      <c r="D92">
        <v>2481</v>
      </c>
      <c r="E92" s="3">
        <f t="shared" si="8"/>
        <v>2163.5</v>
      </c>
      <c r="F92">
        <f t="shared" si="9"/>
        <v>2481</v>
      </c>
      <c r="G92">
        <f t="shared" si="10"/>
        <v>2331</v>
      </c>
      <c r="H92">
        <f t="shared" si="11"/>
        <v>2303</v>
      </c>
    </row>
    <row r="93" spans="1:8" x14ac:dyDescent="0.25">
      <c r="A93">
        <v>2452.9419916666666</v>
      </c>
      <c r="C93">
        <v>1900</v>
      </c>
      <c r="D93">
        <v>2545</v>
      </c>
      <c r="E93" s="3">
        <f t="shared" si="8"/>
        <v>2222.5</v>
      </c>
      <c r="F93">
        <f t="shared" si="9"/>
        <v>2545</v>
      </c>
      <c r="G93">
        <f t="shared" si="10"/>
        <v>2395</v>
      </c>
      <c r="H93">
        <f t="shared" si="11"/>
        <v>2367</v>
      </c>
    </row>
    <row r="94" spans="1:8" x14ac:dyDescent="0.25">
      <c r="A94">
        <v>2508.9306416666668</v>
      </c>
      <c r="C94">
        <v>1934</v>
      </c>
      <c r="D94">
        <v>2579</v>
      </c>
      <c r="E94" s="3">
        <f t="shared" si="8"/>
        <v>2256.5</v>
      </c>
      <c r="F94">
        <f t="shared" si="9"/>
        <v>2579</v>
      </c>
      <c r="G94">
        <f t="shared" si="10"/>
        <v>2429</v>
      </c>
      <c r="H94">
        <f t="shared" si="11"/>
        <v>2401</v>
      </c>
    </row>
    <row r="95" spans="1:8" x14ac:dyDescent="0.25">
      <c r="A95">
        <v>2498.9590833333332</v>
      </c>
      <c r="C95">
        <v>1957</v>
      </c>
      <c r="D95">
        <v>2523</v>
      </c>
      <c r="E95" s="3">
        <f t="shared" si="8"/>
        <v>2240</v>
      </c>
      <c r="F95">
        <f t="shared" si="9"/>
        <v>2523</v>
      </c>
      <c r="G95">
        <f t="shared" si="10"/>
        <v>2373</v>
      </c>
      <c r="H95">
        <f t="shared" si="11"/>
        <v>2345</v>
      </c>
    </row>
    <row r="96" spans="1:8" x14ac:dyDescent="0.25">
      <c r="A96">
        <v>2479.1088333333332</v>
      </c>
      <c r="C96">
        <v>1999</v>
      </c>
      <c r="D96">
        <v>2476</v>
      </c>
      <c r="E96" s="3">
        <f t="shared" si="8"/>
        <v>2237.5</v>
      </c>
      <c r="F96">
        <f t="shared" si="9"/>
        <v>2476</v>
      </c>
      <c r="G96">
        <f t="shared" si="10"/>
        <v>2326</v>
      </c>
      <c r="H96">
        <f t="shared" si="11"/>
        <v>2298</v>
      </c>
    </row>
    <row r="97" spans="1:8" x14ac:dyDescent="0.25">
      <c r="A97">
        <v>2475.014408333333</v>
      </c>
      <c r="C97">
        <v>2006</v>
      </c>
      <c r="D97">
        <v>2480</v>
      </c>
      <c r="E97" s="3">
        <f t="shared" si="8"/>
        <v>2243</v>
      </c>
      <c r="F97">
        <f t="shared" si="9"/>
        <v>2480</v>
      </c>
      <c r="G97">
        <f t="shared" si="10"/>
        <v>2330</v>
      </c>
      <c r="H97">
        <f t="shared" si="11"/>
        <v>2302</v>
      </c>
    </row>
    <row r="98" spans="1:8" x14ac:dyDescent="0.25">
      <c r="A98" s="3">
        <f t="shared" ref="A98:H98" si="12">AVERAGE(A2:A97)*0.24</f>
        <v>543.98783445833305</v>
      </c>
      <c r="B98" s="3">
        <f t="shared" si="12"/>
        <v>480.4945454545454</v>
      </c>
      <c r="C98" s="3">
        <f t="shared" si="12"/>
        <v>492.56</v>
      </c>
      <c r="D98" s="3">
        <f t="shared" si="12"/>
        <v>549.78312500000004</v>
      </c>
      <c r="E98" s="3">
        <f t="shared" si="12"/>
        <v>521.17156250000005</v>
      </c>
      <c r="F98" s="3">
        <f t="shared" si="12"/>
        <v>552.82562499999995</v>
      </c>
      <c r="G98" s="3">
        <f t="shared" si="12"/>
        <v>516.82562499999995</v>
      </c>
      <c r="H98" s="3">
        <f t="shared" si="12"/>
        <v>510.10562499999992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0"/>
  <sheetViews>
    <sheetView workbookViewId="0">
      <selection activeCell="C41" sqref="C41"/>
    </sheetView>
  </sheetViews>
  <sheetFormatPr defaultRowHeight="15" x14ac:dyDescent="0.25"/>
  <sheetData>
    <row r="4" spans="1:5" x14ac:dyDescent="0.25">
      <c r="A4" s="3">
        <v>2787.32</v>
      </c>
      <c r="B4">
        <v>2800</v>
      </c>
      <c r="C4" s="3">
        <v>2768.97</v>
      </c>
      <c r="D4" s="3">
        <f t="shared" ref="D4:D35" si="0">AVERAGE(A4:C4)</f>
        <v>2785.43</v>
      </c>
      <c r="E4" s="3">
        <f t="shared" ref="E4:E35" si="1">32+D4</f>
        <v>2817.43</v>
      </c>
    </row>
    <row r="5" spans="1:5" x14ac:dyDescent="0.25">
      <c r="A5" s="3">
        <v>2744.3457125</v>
      </c>
      <c r="B5">
        <v>2751</v>
      </c>
      <c r="C5" s="3">
        <v>2729.13</v>
      </c>
      <c r="D5" s="3">
        <f t="shared" si="0"/>
        <v>2741.4919041666667</v>
      </c>
      <c r="E5" s="3">
        <f t="shared" si="1"/>
        <v>2773.4919041666667</v>
      </c>
    </row>
    <row r="6" spans="1:5" x14ac:dyDescent="0.25">
      <c r="A6" s="3">
        <v>2735.33</v>
      </c>
      <c r="B6">
        <v>2750</v>
      </c>
      <c r="C6" s="3">
        <v>2686.04</v>
      </c>
      <c r="D6" s="3">
        <f t="shared" si="0"/>
        <v>2723.79</v>
      </c>
      <c r="E6" s="3">
        <f t="shared" si="1"/>
        <v>2755.79</v>
      </c>
    </row>
    <row r="7" spans="1:5" x14ac:dyDescent="0.25">
      <c r="A7" s="3">
        <v>2728.55</v>
      </c>
      <c r="B7">
        <v>2740</v>
      </c>
      <c r="C7" s="3">
        <v>2713.55</v>
      </c>
      <c r="D7" s="3">
        <f t="shared" si="0"/>
        <v>2727.3666666666668</v>
      </c>
      <c r="E7" s="3">
        <f t="shared" si="1"/>
        <v>2759.3666666666668</v>
      </c>
    </row>
    <row r="8" spans="1:5" x14ac:dyDescent="0.25">
      <c r="A8" s="3">
        <v>2719.931975</v>
      </c>
      <c r="B8">
        <v>2707</v>
      </c>
      <c r="C8" s="3">
        <v>2686.69</v>
      </c>
      <c r="D8" s="3">
        <f t="shared" si="0"/>
        <v>2704.5406583333333</v>
      </c>
      <c r="E8" s="3">
        <f t="shared" si="1"/>
        <v>2736.5406583333333</v>
      </c>
    </row>
    <row r="9" spans="1:5" x14ac:dyDescent="0.25">
      <c r="A9" s="3">
        <v>2710.2276499999998</v>
      </c>
      <c r="B9">
        <v>2691</v>
      </c>
      <c r="C9" s="3">
        <v>2664.62</v>
      </c>
      <c r="D9" s="3">
        <f t="shared" si="0"/>
        <v>2688.6158833333334</v>
      </c>
      <c r="E9" s="3">
        <f t="shared" si="1"/>
        <v>2720.6158833333334</v>
      </c>
    </row>
    <row r="10" spans="1:5" x14ac:dyDescent="0.25">
      <c r="A10" s="3">
        <v>2677.0132874999999</v>
      </c>
      <c r="B10">
        <v>2679</v>
      </c>
      <c r="C10" s="3">
        <v>2640.37</v>
      </c>
      <c r="D10" s="3">
        <f t="shared" si="0"/>
        <v>2665.4610958333333</v>
      </c>
      <c r="E10" s="3">
        <f t="shared" si="1"/>
        <v>2697.4610958333333</v>
      </c>
    </row>
    <row r="11" spans="1:5" x14ac:dyDescent="0.25">
      <c r="A11" s="3">
        <v>2660.5328874999996</v>
      </c>
      <c r="B11">
        <v>2657</v>
      </c>
      <c r="C11" s="3">
        <v>2602.4299999999998</v>
      </c>
      <c r="D11" s="3">
        <f t="shared" si="0"/>
        <v>2639.9876291666665</v>
      </c>
      <c r="E11" s="3">
        <f t="shared" si="1"/>
        <v>2671.9876291666665</v>
      </c>
    </row>
    <row r="12" spans="1:5" x14ac:dyDescent="0.25">
      <c r="A12" s="3">
        <v>2617.1164874999999</v>
      </c>
      <c r="B12">
        <v>2638</v>
      </c>
      <c r="C12" s="3">
        <v>2547.58</v>
      </c>
      <c r="D12" s="3">
        <f t="shared" si="0"/>
        <v>2600.8988291666665</v>
      </c>
      <c r="E12" s="3">
        <f t="shared" si="1"/>
        <v>2632.8988291666665</v>
      </c>
    </row>
    <row r="13" spans="1:5" x14ac:dyDescent="0.25">
      <c r="A13" s="3">
        <v>2583.2197624999999</v>
      </c>
      <c r="B13">
        <v>2579</v>
      </c>
      <c r="C13" s="3">
        <v>2544.29</v>
      </c>
      <c r="D13" s="3">
        <f t="shared" si="0"/>
        <v>2568.8365875</v>
      </c>
      <c r="E13" s="3">
        <f t="shared" si="1"/>
        <v>2600.8365875</v>
      </c>
    </row>
    <row r="14" spans="1:5" x14ac:dyDescent="0.25">
      <c r="A14" s="3">
        <v>2569.13</v>
      </c>
      <c r="B14">
        <v>2578</v>
      </c>
      <c r="C14" s="3">
        <v>2554.13</v>
      </c>
      <c r="D14" s="3">
        <f t="shared" si="0"/>
        <v>2567.0866666666666</v>
      </c>
      <c r="E14" s="3">
        <f t="shared" si="1"/>
        <v>2599.0866666666666</v>
      </c>
    </row>
    <row r="15" spans="1:5" x14ac:dyDescent="0.25">
      <c r="A15" s="3">
        <v>2545.9759750000003</v>
      </c>
      <c r="B15">
        <v>2553</v>
      </c>
      <c r="C15" s="3">
        <v>2514.27</v>
      </c>
      <c r="D15" s="3">
        <f t="shared" si="0"/>
        <v>2537.7486583333334</v>
      </c>
      <c r="E15" s="3">
        <f t="shared" si="1"/>
        <v>2569.7486583333334</v>
      </c>
    </row>
    <row r="16" spans="1:5" x14ac:dyDescent="0.25">
      <c r="A16" s="3">
        <v>2530.61</v>
      </c>
      <c r="B16">
        <v>2539</v>
      </c>
      <c r="C16" s="3">
        <v>2493.69</v>
      </c>
      <c r="D16" s="3">
        <f t="shared" si="0"/>
        <v>2521.1000000000004</v>
      </c>
      <c r="E16" s="3">
        <f t="shared" si="1"/>
        <v>2553.1000000000004</v>
      </c>
    </row>
    <row r="17" spans="1:5" x14ac:dyDescent="0.25">
      <c r="A17" s="3">
        <v>2506.96155</v>
      </c>
      <c r="B17">
        <v>2528</v>
      </c>
      <c r="C17" s="3">
        <v>2491.89</v>
      </c>
      <c r="D17" s="3">
        <f t="shared" si="0"/>
        <v>2508.9505166666663</v>
      </c>
      <c r="E17" s="3">
        <f t="shared" si="1"/>
        <v>2540.9505166666663</v>
      </c>
    </row>
    <row r="18" spans="1:5" x14ac:dyDescent="0.25">
      <c r="A18" s="3">
        <v>2506.6043875</v>
      </c>
      <c r="B18">
        <v>2522</v>
      </c>
      <c r="C18" s="3">
        <v>2490.86</v>
      </c>
      <c r="D18" s="3">
        <f t="shared" si="0"/>
        <v>2506.4881291666666</v>
      </c>
      <c r="E18" s="3">
        <f t="shared" si="1"/>
        <v>2538.4881291666666</v>
      </c>
    </row>
    <row r="19" spans="1:5" x14ac:dyDescent="0.25">
      <c r="A19" s="3">
        <v>2493.4899999999998</v>
      </c>
      <c r="B19">
        <v>2498</v>
      </c>
      <c r="C19" s="3">
        <v>2457.0700000000002</v>
      </c>
      <c r="D19" s="3">
        <f t="shared" si="0"/>
        <v>2482.853333333333</v>
      </c>
      <c r="E19" s="3">
        <f t="shared" si="1"/>
        <v>2514.853333333333</v>
      </c>
    </row>
    <row r="20" spans="1:5" x14ac:dyDescent="0.25">
      <c r="A20" s="3">
        <v>2484.0924999999997</v>
      </c>
      <c r="B20">
        <v>2516</v>
      </c>
      <c r="C20" s="3">
        <v>2463.56</v>
      </c>
      <c r="D20" s="3">
        <f t="shared" si="0"/>
        <v>2487.8841666666667</v>
      </c>
      <c r="E20" s="3">
        <f t="shared" si="1"/>
        <v>2519.8841666666667</v>
      </c>
    </row>
    <row r="21" spans="1:5" x14ac:dyDescent="0.25">
      <c r="A21" s="3">
        <v>2461.8164624999999</v>
      </c>
      <c r="B21">
        <v>2483</v>
      </c>
      <c r="C21" s="3">
        <v>2423.4299999999998</v>
      </c>
      <c r="D21" s="3">
        <f t="shared" si="0"/>
        <v>2456.0821541666664</v>
      </c>
      <c r="E21" s="3">
        <f t="shared" si="1"/>
        <v>2488.0821541666664</v>
      </c>
    </row>
    <row r="22" spans="1:5" x14ac:dyDescent="0.25">
      <c r="A22" s="3">
        <v>2456.0076124999996</v>
      </c>
      <c r="B22">
        <v>2494</v>
      </c>
      <c r="C22" s="3">
        <v>2384.1</v>
      </c>
      <c r="D22" s="3">
        <f t="shared" si="0"/>
        <v>2444.7025374999998</v>
      </c>
      <c r="E22" s="3">
        <f t="shared" si="1"/>
        <v>2476.7025374999998</v>
      </c>
    </row>
    <row r="23" spans="1:5" x14ac:dyDescent="0.25">
      <c r="A23" s="3">
        <v>2443.0428375000001</v>
      </c>
      <c r="B23" s="6">
        <v>2477</v>
      </c>
      <c r="C23" s="3">
        <v>2395.5100000000002</v>
      </c>
      <c r="D23" s="3">
        <f t="shared" si="0"/>
        <v>2438.5176125000003</v>
      </c>
      <c r="E23" s="3">
        <f t="shared" si="1"/>
        <v>2470.5176125000003</v>
      </c>
    </row>
    <row r="24" spans="1:5" x14ac:dyDescent="0.25">
      <c r="A24" s="3">
        <v>2434.09</v>
      </c>
      <c r="B24">
        <v>2503</v>
      </c>
      <c r="C24" s="3">
        <v>2393</v>
      </c>
      <c r="D24" s="3">
        <f t="shared" si="0"/>
        <v>2443.3633333333332</v>
      </c>
      <c r="E24" s="3">
        <f t="shared" si="1"/>
        <v>2475.3633333333332</v>
      </c>
    </row>
    <row r="25" spans="1:5" x14ac:dyDescent="0.25">
      <c r="A25" s="3">
        <v>2433.48</v>
      </c>
      <c r="B25">
        <v>2498</v>
      </c>
      <c r="C25" s="3">
        <v>2376.1</v>
      </c>
      <c r="D25" s="3">
        <f t="shared" si="0"/>
        <v>2435.86</v>
      </c>
      <c r="E25" s="3">
        <f t="shared" si="1"/>
        <v>2467.86</v>
      </c>
    </row>
    <row r="26" spans="1:5" x14ac:dyDescent="0.25">
      <c r="A26" s="3">
        <v>2464.4414375000001</v>
      </c>
      <c r="B26">
        <v>2501</v>
      </c>
      <c r="C26" s="3">
        <v>2388.23</v>
      </c>
      <c r="D26" s="3">
        <f t="shared" si="0"/>
        <v>2451.2238124999999</v>
      </c>
      <c r="E26" s="3">
        <f t="shared" si="1"/>
        <v>2483.2238124999999</v>
      </c>
    </row>
    <row r="27" spans="1:5" x14ac:dyDescent="0.25">
      <c r="A27" s="3">
        <v>2477.88</v>
      </c>
      <c r="B27">
        <v>2512</v>
      </c>
      <c r="C27" s="3">
        <v>2403.2399999999998</v>
      </c>
      <c r="D27" s="3">
        <f t="shared" si="0"/>
        <v>2464.3733333333334</v>
      </c>
      <c r="E27" s="3">
        <f t="shared" si="1"/>
        <v>2496.3733333333334</v>
      </c>
    </row>
    <row r="28" spans="1:5" x14ac:dyDescent="0.25">
      <c r="A28" s="3">
        <v>2484.2800000000002</v>
      </c>
      <c r="B28">
        <v>2520</v>
      </c>
      <c r="C28" s="3">
        <v>2386.6799999999998</v>
      </c>
      <c r="D28" s="3">
        <f t="shared" si="0"/>
        <v>2463.6533333333336</v>
      </c>
      <c r="E28" s="3">
        <f t="shared" si="1"/>
        <v>2495.6533333333336</v>
      </c>
    </row>
    <row r="29" spans="1:5" x14ac:dyDescent="0.25">
      <c r="A29" s="3">
        <v>2495.7950000000001</v>
      </c>
      <c r="B29">
        <v>2526</v>
      </c>
      <c r="C29" s="3">
        <v>2412.89</v>
      </c>
      <c r="D29" s="3">
        <f t="shared" si="0"/>
        <v>2478.228333333333</v>
      </c>
      <c r="E29" s="3">
        <f t="shared" si="1"/>
        <v>2510.228333333333</v>
      </c>
    </row>
    <row r="30" spans="1:5" x14ac:dyDescent="0.25">
      <c r="A30" s="3">
        <v>2529</v>
      </c>
      <c r="B30">
        <v>2545</v>
      </c>
      <c r="C30" s="3">
        <v>2453.29</v>
      </c>
      <c r="D30" s="3">
        <f t="shared" si="0"/>
        <v>2509.0966666666668</v>
      </c>
      <c r="E30" s="3">
        <f t="shared" si="1"/>
        <v>2541.0966666666668</v>
      </c>
    </row>
    <row r="31" spans="1:5" x14ac:dyDescent="0.25">
      <c r="A31" s="3">
        <v>2561.4300000000003</v>
      </c>
      <c r="B31">
        <v>2560</v>
      </c>
      <c r="C31" s="3">
        <v>2510.35</v>
      </c>
      <c r="D31" s="3">
        <f t="shared" si="0"/>
        <v>2543.9266666666667</v>
      </c>
      <c r="E31" s="3">
        <f t="shared" si="1"/>
        <v>2575.9266666666667</v>
      </c>
    </row>
    <row r="32" spans="1:5" x14ac:dyDescent="0.25">
      <c r="A32" s="3">
        <v>2622.2150000000001</v>
      </c>
      <c r="B32">
        <v>2601</v>
      </c>
      <c r="C32" s="3">
        <v>2572.31</v>
      </c>
      <c r="D32" s="3">
        <f t="shared" si="0"/>
        <v>2598.5083333333332</v>
      </c>
      <c r="E32" s="3">
        <f t="shared" si="1"/>
        <v>2630.5083333333332</v>
      </c>
    </row>
    <row r="33" spans="1:5" x14ac:dyDescent="0.25">
      <c r="A33" s="3">
        <v>2658.55</v>
      </c>
      <c r="B33">
        <v>2651</v>
      </c>
      <c r="C33" s="3">
        <v>2590.73</v>
      </c>
      <c r="D33" s="3">
        <f t="shared" si="0"/>
        <v>2633.4266666666667</v>
      </c>
      <c r="E33" s="3">
        <f t="shared" si="1"/>
        <v>2665.4266666666667</v>
      </c>
    </row>
    <row r="34" spans="1:5" x14ac:dyDescent="0.25">
      <c r="A34" s="3">
        <v>2662.6998250000001</v>
      </c>
      <c r="B34">
        <v>2660</v>
      </c>
      <c r="C34" s="3">
        <v>2628.08</v>
      </c>
      <c r="D34" s="3">
        <f t="shared" si="0"/>
        <v>2650.2599416666667</v>
      </c>
      <c r="E34" s="3">
        <f t="shared" si="1"/>
        <v>2682.2599416666667</v>
      </c>
    </row>
    <row r="35" spans="1:5" x14ac:dyDescent="0.25">
      <c r="A35" s="3">
        <v>2665.4854999999998</v>
      </c>
      <c r="B35">
        <v>2685</v>
      </c>
      <c r="C35" s="3">
        <v>2624.01</v>
      </c>
      <c r="D35" s="3">
        <f t="shared" si="0"/>
        <v>2658.1651666666667</v>
      </c>
      <c r="E35" s="3">
        <f t="shared" si="1"/>
        <v>2690.1651666666667</v>
      </c>
    </row>
    <row r="36" spans="1:5" x14ac:dyDescent="0.25">
      <c r="A36" s="3">
        <v>2656.05</v>
      </c>
      <c r="B36" s="7">
        <v>2670</v>
      </c>
      <c r="C36" s="3">
        <v>2609.14</v>
      </c>
      <c r="D36" s="3">
        <f t="shared" ref="D36:D67" si="2">AVERAGE(A36:C36)</f>
        <v>2645.0633333333335</v>
      </c>
      <c r="E36" s="3">
        <f t="shared" ref="E36:E67" si="3">32+D36</f>
        <v>2677.0633333333335</v>
      </c>
    </row>
    <row r="37" spans="1:5" x14ac:dyDescent="0.25">
      <c r="A37" s="3">
        <v>2624.89705</v>
      </c>
      <c r="C37" s="3">
        <v>2521.11</v>
      </c>
      <c r="D37" s="3">
        <f t="shared" si="2"/>
        <v>2573.0035250000001</v>
      </c>
      <c r="E37" s="3">
        <f t="shared" si="3"/>
        <v>2605.0035250000001</v>
      </c>
    </row>
    <row r="38" spans="1:5" x14ac:dyDescent="0.25">
      <c r="A38" s="3">
        <v>2637.4197624999997</v>
      </c>
      <c r="C38" s="3">
        <v>2501.38</v>
      </c>
      <c r="D38" s="3">
        <f t="shared" si="2"/>
        <v>2569.3998812499999</v>
      </c>
      <c r="E38" s="3">
        <f t="shared" si="3"/>
        <v>2601.3998812499999</v>
      </c>
    </row>
    <row r="39" spans="1:5" x14ac:dyDescent="0.25">
      <c r="A39" s="3">
        <v>2609.3067624999999</v>
      </c>
      <c r="C39" s="3">
        <v>2572.67</v>
      </c>
      <c r="D39" s="3">
        <f t="shared" si="2"/>
        <v>2590.9883812500002</v>
      </c>
      <c r="E39" s="3">
        <f t="shared" si="3"/>
        <v>2622.9883812500002</v>
      </c>
    </row>
    <row r="40" spans="1:5" x14ac:dyDescent="0.25">
      <c r="A40" s="3">
        <v>2604.9</v>
      </c>
      <c r="C40" s="3">
        <v>2596.08</v>
      </c>
      <c r="D40" s="3">
        <f t="shared" si="2"/>
        <v>2600.4899999999998</v>
      </c>
      <c r="E40" s="3">
        <f t="shared" si="3"/>
        <v>2632.49</v>
      </c>
    </row>
    <row r="41" spans="1:5" x14ac:dyDescent="0.25">
      <c r="A41" s="3">
        <v>2575.46</v>
      </c>
      <c r="C41" s="3">
        <v>2571</v>
      </c>
      <c r="D41" s="3">
        <f t="shared" si="2"/>
        <v>2573.23</v>
      </c>
      <c r="E41" s="3">
        <f t="shared" si="3"/>
        <v>2605.23</v>
      </c>
    </row>
    <row r="42" spans="1:5" x14ac:dyDescent="0.25">
      <c r="A42" s="3">
        <v>2539.1999999999998</v>
      </c>
      <c r="C42" s="3">
        <v>2556.5700000000002</v>
      </c>
      <c r="D42" s="3">
        <f t="shared" si="2"/>
        <v>2547.8850000000002</v>
      </c>
      <c r="E42" s="3">
        <f t="shared" si="3"/>
        <v>2579.8850000000002</v>
      </c>
    </row>
    <row r="43" spans="1:5" x14ac:dyDescent="0.25">
      <c r="A43" s="3">
        <v>2506.8200000000002</v>
      </c>
      <c r="C43" s="3">
        <v>2494.4699999999998</v>
      </c>
      <c r="D43" s="3">
        <f t="shared" si="2"/>
        <v>2500.645</v>
      </c>
      <c r="E43" s="3">
        <f t="shared" si="3"/>
        <v>2532.645</v>
      </c>
    </row>
    <row r="44" spans="1:5" x14ac:dyDescent="0.25">
      <c r="A44" s="3">
        <v>2515.6999999999998</v>
      </c>
      <c r="B44" s="6"/>
      <c r="C44" s="3">
        <v>2482.9</v>
      </c>
      <c r="D44" s="3">
        <f t="shared" si="2"/>
        <v>2499.3000000000002</v>
      </c>
      <c r="E44" s="3">
        <f t="shared" si="3"/>
        <v>2531.3000000000002</v>
      </c>
    </row>
    <row r="45" spans="1:5" x14ac:dyDescent="0.25">
      <c r="A45" s="3">
        <v>2489.4899999999998</v>
      </c>
      <c r="C45" s="3">
        <v>2454</v>
      </c>
      <c r="D45" s="3">
        <f t="shared" si="2"/>
        <v>2471.7449999999999</v>
      </c>
      <c r="E45" s="3">
        <f t="shared" si="3"/>
        <v>2503.7449999999999</v>
      </c>
    </row>
    <row r="46" spans="1:5" x14ac:dyDescent="0.25">
      <c r="A46" s="3">
        <v>2477.7399999999998</v>
      </c>
      <c r="C46" s="3">
        <v>2436</v>
      </c>
      <c r="D46" s="3">
        <f t="shared" si="2"/>
        <v>2456.87</v>
      </c>
      <c r="E46" s="3">
        <f t="shared" si="3"/>
        <v>2488.87</v>
      </c>
    </row>
    <row r="47" spans="1:5" x14ac:dyDescent="0.25">
      <c r="A47" s="3">
        <v>2402.73</v>
      </c>
      <c r="C47" s="3">
        <v>2406</v>
      </c>
      <c r="D47" s="3">
        <f t="shared" si="2"/>
        <v>2404.3649999999998</v>
      </c>
      <c r="E47" s="3">
        <f t="shared" si="3"/>
        <v>2436.3649999999998</v>
      </c>
    </row>
    <row r="48" spans="1:5" x14ac:dyDescent="0.25">
      <c r="A48" s="3">
        <v>2366.67</v>
      </c>
      <c r="C48" s="3">
        <v>2350</v>
      </c>
      <c r="D48" s="3">
        <f t="shared" si="2"/>
        <v>2358.335</v>
      </c>
      <c r="E48" s="3">
        <f t="shared" si="3"/>
        <v>2390.335</v>
      </c>
    </row>
    <row r="49" spans="1:5" x14ac:dyDescent="0.25">
      <c r="A49" s="3">
        <v>2316.35</v>
      </c>
      <c r="C49" s="3">
        <v>2326.37</v>
      </c>
      <c r="D49" s="3">
        <f t="shared" si="2"/>
        <v>2321.3599999999997</v>
      </c>
      <c r="E49" s="3">
        <f t="shared" si="3"/>
        <v>2353.3599999999997</v>
      </c>
    </row>
    <row r="50" spans="1:5" x14ac:dyDescent="0.25">
      <c r="A50" s="3">
        <v>2306.81</v>
      </c>
      <c r="C50" s="3">
        <v>2322.5100000000002</v>
      </c>
      <c r="D50" s="3">
        <f t="shared" si="2"/>
        <v>2314.66</v>
      </c>
      <c r="E50" s="3">
        <f t="shared" si="3"/>
        <v>2346.66</v>
      </c>
    </row>
    <row r="51" spans="1:5" x14ac:dyDescent="0.25">
      <c r="A51" s="3">
        <v>2274.5564749999999</v>
      </c>
      <c r="C51" s="3">
        <v>2257.6</v>
      </c>
      <c r="D51" s="3">
        <f t="shared" si="2"/>
        <v>2266.0782374999999</v>
      </c>
      <c r="E51" s="3">
        <f t="shared" si="3"/>
        <v>2298.0782374999999</v>
      </c>
    </row>
    <row r="52" spans="1:5" x14ac:dyDescent="0.25">
      <c r="A52" s="3">
        <v>2201.15</v>
      </c>
      <c r="C52" s="3">
        <v>2212.1</v>
      </c>
      <c r="D52" s="3">
        <f t="shared" si="2"/>
        <v>2206.625</v>
      </c>
      <c r="E52" s="3">
        <f t="shared" si="3"/>
        <v>2238.625</v>
      </c>
    </row>
    <row r="53" spans="1:5" x14ac:dyDescent="0.25">
      <c r="A53" s="3">
        <v>2193.8141875000001</v>
      </c>
      <c r="C53" s="3">
        <v>2177.89</v>
      </c>
      <c r="D53" s="3">
        <f t="shared" si="2"/>
        <v>2185.8520937499998</v>
      </c>
      <c r="E53" s="3">
        <f t="shared" si="3"/>
        <v>2217.8520937499998</v>
      </c>
    </row>
    <row r="54" spans="1:5" x14ac:dyDescent="0.25">
      <c r="A54" s="3">
        <v>2171.1417499999998</v>
      </c>
      <c r="C54" s="3">
        <v>2141.6799999999998</v>
      </c>
      <c r="D54" s="3">
        <f t="shared" si="2"/>
        <v>2156.4108749999996</v>
      </c>
      <c r="E54" s="3">
        <f t="shared" si="3"/>
        <v>2188.4108749999996</v>
      </c>
    </row>
    <row r="55" spans="1:5" x14ac:dyDescent="0.25">
      <c r="A55" s="3">
        <v>2135.04</v>
      </c>
      <c r="C55" s="3">
        <v>2132.29</v>
      </c>
      <c r="D55" s="3">
        <f t="shared" si="2"/>
        <v>2133.665</v>
      </c>
      <c r="E55" s="3">
        <f t="shared" si="3"/>
        <v>2165.665</v>
      </c>
    </row>
    <row r="56" spans="1:5" x14ac:dyDescent="0.25">
      <c r="A56" s="3">
        <v>2168.44</v>
      </c>
      <c r="C56" s="3">
        <v>2122.9499999999998</v>
      </c>
      <c r="D56" s="3">
        <f t="shared" si="2"/>
        <v>2145.6949999999997</v>
      </c>
      <c r="E56" s="3">
        <f t="shared" si="3"/>
        <v>2177.6949999999997</v>
      </c>
    </row>
    <row r="57" spans="1:5" x14ac:dyDescent="0.25">
      <c r="A57" s="3">
        <v>2152.48</v>
      </c>
      <c r="C57" s="3">
        <v>2143.5300000000002</v>
      </c>
      <c r="D57" s="3">
        <f t="shared" si="2"/>
        <v>2148.0050000000001</v>
      </c>
      <c r="E57" s="3">
        <f t="shared" si="3"/>
        <v>2180.0050000000001</v>
      </c>
    </row>
    <row r="58" spans="1:5" x14ac:dyDescent="0.25">
      <c r="A58" s="3">
        <v>2153.15</v>
      </c>
      <c r="C58" s="3">
        <v>2143.7399999999998</v>
      </c>
      <c r="D58" s="3">
        <f t="shared" si="2"/>
        <v>2148.4449999999997</v>
      </c>
      <c r="E58" s="3">
        <f t="shared" si="3"/>
        <v>2180.4449999999997</v>
      </c>
    </row>
    <row r="59" spans="1:5" x14ac:dyDescent="0.25">
      <c r="A59" s="3">
        <v>2185.33</v>
      </c>
      <c r="C59" s="3">
        <v>2183.67</v>
      </c>
      <c r="D59" s="3">
        <f t="shared" si="2"/>
        <v>2184.5</v>
      </c>
      <c r="E59" s="3">
        <f t="shared" si="3"/>
        <v>2216.5</v>
      </c>
    </row>
    <row r="60" spans="1:5" x14ac:dyDescent="0.25">
      <c r="A60" s="3">
        <v>2154.3200000000002</v>
      </c>
      <c r="C60" s="3">
        <v>2186.33</v>
      </c>
      <c r="D60" s="3">
        <f t="shared" si="2"/>
        <v>2170.3249999999998</v>
      </c>
      <c r="E60" s="3">
        <f t="shared" si="3"/>
        <v>2202.3249999999998</v>
      </c>
    </row>
    <row r="61" spans="1:5" x14ac:dyDescent="0.25">
      <c r="A61" s="3">
        <v>2167.36</v>
      </c>
      <c r="C61" s="3">
        <v>2168.91</v>
      </c>
      <c r="D61" s="3">
        <f t="shared" si="2"/>
        <v>2168.1350000000002</v>
      </c>
      <c r="E61" s="3">
        <f t="shared" si="3"/>
        <v>2200.1350000000002</v>
      </c>
    </row>
    <row r="62" spans="1:5" x14ac:dyDescent="0.25">
      <c r="A62" s="3">
        <v>2175.69</v>
      </c>
      <c r="C62" s="3">
        <v>2166.36</v>
      </c>
      <c r="D62" s="3">
        <f t="shared" si="2"/>
        <v>2171.0250000000001</v>
      </c>
      <c r="E62" s="3">
        <f t="shared" si="3"/>
        <v>2203.0250000000001</v>
      </c>
    </row>
    <row r="63" spans="1:5" x14ac:dyDescent="0.25">
      <c r="A63" s="3">
        <v>2169.86</v>
      </c>
      <c r="C63" s="3">
        <v>2193.21</v>
      </c>
      <c r="D63" s="3">
        <f t="shared" si="2"/>
        <v>2181.5349999999999</v>
      </c>
      <c r="E63" s="3">
        <f t="shared" si="3"/>
        <v>2213.5349999999999</v>
      </c>
    </row>
    <row r="64" spans="1:5" x14ac:dyDescent="0.25">
      <c r="A64" s="3">
        <v>2177.35</v>
      </c>
      <c r="C64" s="3">
        <v>2205.3000000000002</v>
      </c>
      <c r="D64" s="3">
        <f t="shared" si="2"/>
        <v>2191.3249999999998</v>
      </c>
      <c r="E64" s="3">
        <f t="shared" si="3"/>
        <v>2223.3249999999998</v>
      </c>
    </row>
    <row r="65" spans="1:5" x14ac:dyDescent="0.25">
      <c r="A65" s="3">
        <v>2158.81</v>
      </c>
      <c r="C65" s="3">
        <v>2210.88</v>
      </c>
      <c r="D65" s="3">
        <f t="shared" si="2"/>
        <v>2184.8450000000003</v>
      </c>
      <c r="E65" s="3">
        <f t="shared" si="3"/>
        <v>2216.8450000000003</v>
      </c>
    </row>
    <row r="66" spans="1:5" x14ac:dyDescent="0.25">
      <c r="A66" s="3">
        <v>2175.0500000000002</v>
      </c>
      <c r="C66" s="3">
        <v>2217.6799999999998</v>
      </c>
      <c r="D66" s="3">
        <f t="shared" si="2"/>
        <v>2196.3649999999998</v>
      </c>
      <c r="E66" s="3">
        <f t="shared" si="3"/>
        <v>2228.3649999999998</v>
      </c>
    </row>
    <row r="67" spans="1:5" x14ac:dyDescent="0.25">
      <c r="A67" s="3">
        <v>2175.2479250000001</v>
      </c>
      <c r="C67" s="3">
        <v>2232.04</v>
      </c>
      <c r="D67" s="3">
        <f t="shared" si="2"/>
        <v>2203.6439625000003</v>
      </c>
      <c r="E67" s="3">
        <f t="shared" si="3"/>
        <v>2235.6439625000003</v>
      </c>
    </row>
    <row r="68" spans="1:5" x14ac:dyDescent="0.25">
      <c r="A68" s="3">
        <v>2176.3200000000002</v>
      </c>
      <c r="C68" s="3">
        <v>2252</v>
      </c>
      <c r="D68" s="3">
        <f t="shared" ref="D68:D99" si="4">AVERAGE(A68:C68)</f>
        <v>2214.16</v>
      </c>
      <c r="E68" s="3">
        <f t="shared" ref="E68:E99" si="5">32+D68</f>
        <v>2246.16</v>
      </c>
    </row>
    <row r="69" spans="1:5" x14ac:dyDescent="0.25">
      <c r="A69" s="3">
        <v>2162.5724625000003</v>
      </c>
      <c r="C69" s="3">
        <v>2239</v>
      </c>
      <c r="D69" s="3">
        <f t="shared" si="4"/>
        <v>2200.7862312500001</v>
      </c>
      <c r="E69" s="3">
        <f t="shared" si="5"/>
        <v>2232.7862312500001</v>
      </c>
    </row>
    <row r="70" spans="1:5" x14ac:dyDescent="0.25">
      <c r="A70" s="3">
        <v>2184.2710499999998</v>
      </c>
      <c r="C70" s="3">
        <v>2238</v>
      </c>
      <c r="D70" s="3">
        <f t="shared" si="4"/>
        <v>2211.1355249999997</v>
      </c>
      <c r="E70" s="3">
        <f t="shared" si="5"/>
        <v>2243.1355249999997</v>
      </c>
    </row>
    <row r="71" spans="1:5" x14ac:dyDescent="0.25">
      <c r="A71" s="3">
        <v>2187.3679625</v>
      </c>
      <c r="C71" s="3">
        <v>2245</v>
      </c>
      <c r="D71" s="3">
        <f t="shared" si="4"/>
        <v>2216.1839812500002</v>
      </c>
      <c r="E71" s="3">
        <f t="shared" si="5"/>
        <v>2248.1839812500002</v>
      </c>
    </row>
    <row r="72" spans="1:5" x14ac:dyDescent="0.25">
      <c r="A72" s="3">
        <v>2196.3364999999999</v>
      </c>
      <c r="C72" s="3">
        <v>2225</v>
      </c>
      <c r="D72" s="3">
        <f t="shared" si="4"/>
        <v>2210.6682499999997</v>
      </c>
      <c r="E72" s="3">
        <f t="shared" si="5"/>
        <v>2242.6682499999997</v>
      </c>
    </row>
    <row r="73" spans="1:5" x14ac:dyDescent="0.25">
      <c r="A73" s="3">
        <v>2175.3709374999999</v>
      </c>
      <c r="C73" s="3">
        <v>2061</v>
      </c>
      <c r="D73" s="3">
        <f t="shared" si="4"/>
        <v>2118.1854687499999</v>
      </c>
      <c r="E73" s="3">
        <f t="shared" si="5"/>
        <v>2150.1854687499999</v>
      </c>
    </row>
    <row r="74" spans="1:5" x14ac:dyDescent="0.25">
      <c r="A74" s="3">
        <v>2190.8376625000001</v>
      </c>
      <c r="C74" s="3">
        <v>2036</v>
      </c>
      <c r="D74" s="3">
        <f t="shared" si="4"/>
        <v>2113.41883125</v>
      </c>
      <c r="E74" s="3">
        <f t="shared" si="5"/>
        <v>2145.41883125</v>
      </c>
    </row>
    <row r="75" spans="1:5" x14ac:dyDescent="0.25">
      <c r="A75" s="3">
        <v>2216.1530250000001</v>
      </c>
      <c r="B75" s="7"/>
      <c r="C75" s="3">
        <v>2050</v>
      </c>
      <c r="D75" s="3">
        <f t="shared" si="4"/>
        <v>2133.0765124999998</v>
      </c>
      <c r="E75" s="3">
        <f t="shared" si="5"/>
        <v>2165.0765124999998</v>
      </c>
    </row>
    <row r="76" spans="1:5" x14ac:dyDescent="0.25">
      <c r="A76" s="3">
        <v>2173.2907375</v>
      </c>
      <c r="B76" s="6"/>
      <c r="C76" s="3">
        <v>2004</v>
      </c>
      <c r="D76" s="3">
        <f t="shared" si="4"/>
        <v>2088.6453687499998</v>
      </c>
      <c r="E76" s="3">
        <f t="shared" si="5"/>
        <v>2120.6453687499998</v>
      </c>
    </row>
    <row r="77" spans="1:5" x14ac:dyDescent="0.25">
      <c r="A77" s="3">
        <v>2120.6507999999999</v>
      </c>
      <c r="C77" s="3">
        <v>2015</v>
      </c>
      <c r="D77" s="3">
        <f t="shared" si="4"/>
        <v>2067.8253999999997</v>
      </c>
      <c r="E77" s="3">
        <f t="shared" si="5"/>
        <v>2099.8253999999997</v>
      </c>
    </row>
    <row r="78" spans="1:5" x14ac:dyDescent="0.25">
      <c r="A78" s="3">
        <v>2135.1475</v>
      </c>
      <c r="C78" s="3">
        <v>2115</v>
      </c>
      <c r="D78" s="3">
        <f t="shared" si="4"/>
        <v>2125.07375</v>
      </c>
      <c r="E78" s="3">
        <f t="shared" si="5"/>
        <v>2157.07375</v>
      </c>
    </row>
    <row r="79" spans="1:5" x14ac:dyDescent="0.25">
      <c r="A79" s="3">
        <v>2128.1039124999998</v>
      </c>
      <c r="C79" s="3">
        <v>2138</v>
      </c>
      <c r="D79" s="3">
        <f t="shared" si="4"/>
        <v>2133.0519562499999</v>
      </c>
      <c r="E79" s="3">
        <f t="shared" si="5"/>
        <v>2165.0519562499999</v>
      </c>
    </row>
    <row r="80" spans="1:5" x14ac:dyDescent="0.25">
      <c r="A80" s="3">
        <v>2246.0835874999998</v>
      </c>
      <c r="C80" s="3">
        <v>2238</v>
      </c>
      <c r="D80" s="3">
        <f t="shared" si="4"/>
        <v>2242.0417937499997</v>
      </c>
      <c r="E80" s="3">
        <f t="shared" si="5"/>
        <v>2274.0417937499997</v>
      </c>
    </row>
    <row r="81" spans="1:5" x14ac:dyDescent="0.25">
      <c r="A81" s="3">
        <v>2417.7584124999998</v>
      </c>
      <c r="C81" s="3">
        <v>2388</v>
      </c>
      <c r="D81" s="3">
        <f t="shared" si="4"/>
        <v>2402.8792062499997</v>
      </c>
      <c r="E81" s="3">
        <f t="shared" si="5"/>
        <v>2434.8792062499997</v>
      </c>
    </row>
    <row r="82" spans="1:5" x14ac:dyDescent="0.25">
      <c r="A82" s="3">
        <v>2526.2718</v>
      </c>
      <c r="C82" s="3">
        <v>2535</v>
      </c>
      <c r="D82" s="3">
        <f t="shared" si="4"/>
        <v>2530.6359000000002</v>
      </c>
      <c r="E82" s="3">
        <f t="shared" si="5"/>
        <v>2562.6359000000002</v>
      </c>
    </row>
    <row r="83" spans="1:5" x14ac:dyDescent="0.25">
      <c r="A83" s="3">
        <v>2569.1600875000004</v>
      </c>
      <c r="C83" s="3">
        <v>2580</v>
      </c>
      <c r="D83" s="3">
        <f t="shared" si="4"/>
        <v>2574.5800437500002</v>
      </c>
      <c r="E83" s="3">
        <f t="shared" si="5"/>
        <v>2606.5800437500002</v>
      </c>
    </row>
    <row r="84" spans="1:5" x14ac:dyDescent="0.25">
      <c r="A84" s="3">
        <v>2584.3267000000001</v>
      </c>
      <c r="C84" s="3">
        <v>2609</v>
      </c>
      <c r="D84" s="3">
        <f t="shared" si="4"/>
        <v>2596.6633499999998</v>
      </c>
      <c r="E84" s="3">
        <f t="shared" si="5"/>
        <v>2628.6633499999998</v>
      </c>
    </row>
    <row r="85" spans="1:5" x14ac:dyDescent="0.25">
      <c r="A85" s="3">
        <v>2585.4011500000001</v>
      </c>
      <c r="C85" s="3">
        <v>2596</v>
      </c>
      <c r="D85" s="3">
        <f t="shared" si="4"/>
        <v>2590.7005749999998</v>
      </c>
      <c r="E85" s="3">
        <f t="shared" si="5"/>
        <v>2622.7005749999998</v>
      </c>
    </row>
    <row r="86" spans="1:5" x14ac:dyDescent="0.25">
      <c r="A86" s="3">
        <v>2579.6373250000001</v>
      </c>
      <c r="C86" s="3">
        <v>2582</v>
      </c>
      <c r="D86" s="3">
        <f t="shared" si="4"/>
        <v>2580.8186624999998</v>
      </c>
      <c r="E86" s="3">
        <f t="shared" si="5"/>
        <v>2612.8186624999998</v>
      </c>
    </row>
    <row r="87" spans="1:5" x14ac:dyDescent="0.25">
      <c r="A87" s="3">
        <v>2561.9688999999998</v>
      </c>
      <c r="C87" s="3">
        <v>2577</v>
      </c>
      <c r="D87" s="3">
        <f t="shared" si="4"/>
        <v>2569.4844499999999</v>
      </c>
      <c r="E87" s="3">
        <f t="shared" si="5"/>
        <v>2601.4844499999999</v>
      </c>
    </row>
    <row r="88" spans="1:5" x14ac:dyDescent="0.25">
      <c r="A88" s="3">
        <v>2539.25</v>
      </c>
      <c r="C88" s="3">
        <v>2545</v>
      </c>
      <c r="D88" s="3">
        <f t="shared" si="4"/>
        <v>2542.125</v>
      </c>
      <c r="E88" s="3">
        <f t="shared" si="5"/>
        <v>2574.125</v>
      </c>
    </row>
    <row r="89" spans="1:5" x14ac:dyDescent="0.25">
      <c r="A89" s="3">
        <v>2544.12</v>
      </c>
      <c r="C89" s="3">
        <v>2523</v>
      </c>
      <c r="D89" s="3">
        <f t="shared" si="4"/>
        <v>2533.56</v>
      </c>
      <c r="E89" s="3">
        <f t="shared" si="5"/>
        <v>2565.56</v>
      </c>
    </row>
    <row r="90" spans="1:5" x14ac:dyDescent="0.25">
      <c r="A90" s="3">
        <v>2538.4499999999998</v>
      </c>
      <c r="C90" s="3">
        <v>2526</v>
      </c>
      <c r="D90" s="3">
        <f t="shared" si="4"/>
        <v>2532.2249999999999</v>
      </c>
      <c r="E90" s="3">
        <f t="shared" si="5"/>
        <v>2564.2249999999999</v>
      </c>
    </row>
    <row r="91" spans="1:5" x14ac:dyDescent="0.25">
      <c r="A91" s="3">
        <v>2515.58</v>
      </c>
      <c r="B91" s="6"/>
      <c r="C91" s="3">
        <v>2555</v>
      </c>
      <c r="D91" s="3">
        <f t="shared" si="4"/>
        <v>2535.29</v>
      </c>
      <c r="E91" s="3">
        <f t="shared" si="5"/>
        <v>2567.29</v>
      </c>
    </row>
    <row r="92" spans="1:5" x14ac:dyDescent="0.25">
      <c r="A92" s="3">
        <v>2511.1975000000002</v>
      </c>
      <c r="C92" s="3">
        <v>2546</v>
      </c>
      <c r="D92" s="3">
        <f t="shared" si="4"/>
        <v>2528.5987500000001</v>
      </c>
      <c r="E92" s="3">
        <f t="shared" si="5"/>
        <v>2560.5987500000001</v>
      </c>
    </row>
    <row r="93" spans="1:5" x14ac:dyDescent="0.25">
      <c r="A93" s="3">
        <v>2601.66</v>
      </c>
      <c r="C93" s="3">
        <v>2636</v>
      </c>
      <c r="D93" s="3">
        <f t="shared" si="4"/>
        <v>2618.83</v>
      </c>
      <c r="E93" s="3">
        <f t="shared" si="5"/>
        <v>2650.83</v>
      </c>
    </row>
    <row r="94" spans="1:5" x14ac:dyDescent="0.25">
      <c r="A94" s="3">
        <v>2716.45</v>
      </c>
      <c r="C94" s="3">
        <v>2724</v>
      </c>
      <c r="D94" s="3">
        <f t="shared" si="4"/>
        <v>2720.2249999999999</v>
      </c>
      <c r="E94" s="3">
        <f t="shared" si="5"/>
        <v>2752.2249999999999</v>
      </c>
    </row>
    <row r="95" spans="1:5" x14ac:dyDescent="0.25">
      <c r="A95" s="3">
        <v>2778.46</v>
      </c>
      <c r="C95" s="3">
        <v>2778</v>
      </c>
      <c r="D95" s="3">
        <f t="shared" si="4"/>
        <v>2778.23</v>
      </c>
      <c r="E95" s="3">
        <f t="shared" si="5"/>
        <v>2810.23</v>
      </c>
    </row>
    <row r="96" spans="1:5" x14ac:dyDescent="0.25">
      <c r="A96" s="3">
        <v>2850.11</v>
      </c>
      <c r="C96" s="3">
        <v>2822</v>
      </c>
      <c r="D96" s="3">
        <f t="shared" si="4"/>
        <v>2836.0550000000003</v>
      </c>
      <c r="E96" s="3">
        <f t="shared" si="5"/>
        <v>2868.0550000000003</v>
      </c>
    </row>
    <row r="97" spans="1:5" x14ac:dyDescent="0.25">
      <c r="A97" s="3">
        <v>2842.05</v>
      </c>
      <c r="C97" s="3">
        <v>2825</v>
      </c>
      <c r="D97" s="3">
        <f t="shared" si="4"/>
        <v>2833.5250000000001</v>
      </c>
      <c r="E97" s="3">
        <f t="shared" si="5"/>
        <v>2865.5250000000001</v>
      </c>
    </row>
    <row r="98" spans="1:5" x14ac:dyDescent="0.25">
      <c r="A98" s="3">
        <v>2803</v>
      </c>
      <c r="C98" s="3">
        <v>2793</v>
      </c>
      <c r="D98" s="3">
        <f t="shared" si="4"/>
        <v>2798</v>
      </c>
      <c r="E98" s="3">
        <f t="shared" si="5"/>
        <v>2830</v>
      </c>
    </row>
    <row r="99" spans="1:5" x14ac:dyDescent="0.25">
      <c r="A99" s="3">
        <v>2805.35</v>
      </c>
      <c r="C99" s="3">
        <v>2771</v>
      </c>
      <c r="D99" s="3">
        <f t="shared" si="4"/>
        <v>2788.1750000000002</v>
      </c>
      <c r="E99" s="3">
        <f t="shared" si="5"/>
        <v>2820.1750000000002</v>
      </c>
    </row>
    <row r="100" spans="1:5" x14ac:dyDescent="0.25">
      <c r="A100" s="14">
        <f>AVERAGE(A4:A99)*0.24</f>
        <v>588.07926943749987</v>
      </c>
      <c r="B100" s="14">
        <f>AVERAGE(B4:B99)*0.24</f>
        <v>622.63272727272727</v>
      </c>
      <c r="C100" s="14">
        <f>AVERAGE(C4:C99)*0.24</f>
        <v>582.63612499999988</v>
      </c>
      <c r="D100" s="14">
        <f>AVERAGE(D4:D99)*0.24</f>
        <v>586.40646978125017</v>
      </c>
      <c r="E100" s="14">
        <f>AVERAGE(E4:E99)*0.24</f>
        <v>594.08646978125012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9"/>
  <sheetViews>
    <sheetView topLeftCell="A31" workbookViewId="0">
      <selection activeCell="J46" sqref="J46"/>
    </sheetView>
  </sheetViews>
  <sheetFormatPr defaultRowHeight="15" x14ac:dyDescent="0.25"/>
  <cols>
    <col min="2" max="2" width="10.7109375" bestFit="1" customWidth="1"/>
  </cols>
  <sheetData>
    <row r="1" spans="2:6" x14ac:dyDescent="0.25">
      <c r="B1" s="15">
        <v>43230</v>
      </c>
      <c r="D1" t="s">
        <v>12</v>
      </c>
      <c r="E1" t="s">
        <v>13</v>
      </c>
      <c r="F1" t="s">
        <v>14</v>
      </c>
    </row>
    <row r="2" spans="2:6" x14ac:dyDescent="0.25">
      <c r="B2" t="s">
        <v>11</v>
      </c>
    </row>
    <row r="3" spans="2:6" x14ac:dyDescent="0.25">
      <c r="B3" s="3">
        <v>2887.06</v>
      </c>
      <c r="C3" s="16">
        <v>2789.89</v>
      </c>
      <c r="D3">
        <v>2912</v>
      </c>
      <c r="E3" s="3">
        <f t="shared" ref="E3:E34" si="0">AVERAGE(C3:D3)</f>
        <v>2850.9449999999997</v>
      </c>
      <c r="F3" s="3">
        <f t="shared" ref="F3:F34" si="1">12+E3</f>
        <v>2862.9449999999997</v>
      </c>
    </row>
    <row r="4" spans="2:6" x14ac:dyDescent="0.25">
      <c r="B4" s="3">
        <v>2845.45</v>
      </c>
      <c r="C4" s="16">
        <v>2794.85</v>
      </c>
      <c r="D4">
        <v>2901</v>
      </c>
      <c r="E4" s="3">
        <f t="shared" si="0"/>
        <v>2847.9250000000002</v>
      </c>
      <c r="F4" s="3">
        <f t="shared" si="1"/>
        <v>2859.9250000000002</v>
      </c>
    </row>
    <row r="5" spans="2:6" x14ac:dyDescent="0.25">
      <c r="B5" s="3">
        <v>2868.96</v>
      </c>
      <c r="C5" s="16">
        <v>2764.58</v>
      </c>
      <c r="D5">
        <v>2880</v>
      </c>
      <c r="E5" s="3">
        <f t="shared" si="0"/>
        <v>2822.29</v>
      </c>
      <c r="F5" s="3">
        <f t="shared" si="1"/>
        <v>2834.29</v>
      </c>
    </row>
    <row r="6" spans="2:6" x14ac:dyDescent="0.25">
      <c r="B6" s="3">
        <v>2841.04</v>
      </c>
      <c r="C6" s="16">
        <v>2749.13</v>
      </c>
      <c r="D6">
        <v>2865</v>
      </c>
      <c r="E6" s="3">
        <f t="shared" si="0"/>
        <v>2807.0650000000001</v>
      </c>
      <c r="F6" s="3">
        <f t="shared" si="1"/>
        <v>2819.0650000000001</v>
      </c>
    </row>
    <row r="7" spans="2:6" x14ac:dyDescent="0.25">
      <c r="B7" s="3">
        <v>2843.08</v>
      </c>
      <c r="C7" s="16">
        <v>2742.82</v>
      </c>
      <c r="D7">
        <v>2842</v>
      </c>
      <c r="E7" s="3">
        <f t="shared" si="0"/>
        <v>2792.41</v>
      </c>
      <c r="F7" s="3">
        <f t="shared" si="1"/>
        <v>2804.41</v>
      </c>
    </row>
    <row r="8" spans="2:6" x14ac:dyDescent="0.25">
      <c r="B8" s="3">
        <v>2854.15</v>
      </c>
      <c r="C8" s="16">
        <v>2727.4</v>
      </c>
      <c r="D8">
        <v>2829</v>
      </c>
      <c r="E8" s="3">
        <f t="shared" si="0"/>
        <v>2778.2</v>
      </c>
      <c r="F8" s="3">
        <f t="shared" si="1"/>
        <v>2790.2</v>
      </c>
    </row>
    <row r="9" spans="2:6" x14ac:dyDescent="0.25">
      <c r="B9" s="3">
        <v>2799.59</v>
      </c>
      <c r="C9" s="16">
        <v>2730.1</v>
      </c>
      <c r="D9">
        <v>2805</v>
      </c>
      <c r="E9" s="3">
        <f t="shared" si="0"/>
        <v>2767.55</v>
      </c>
      <c r="F9" s="3">
        <f t="shared" si="1"/>
        <v>2779.55</v>
      </c>
    </row>
    <row r="10" spans="2:6" x14ac:dyDescent="0.25">
      <c r="B10" s="3">
        <v>2792.02</v>
      </c>
      <c r="C10" s="16">
        <v>2681.69</v>
      </c>
      <c r="D10">
        <v>2779</v>
      </c>
      <c r="E10" s="3">
        <f t="shared" si="0"/>
        <v>2730.3450000000003</v>
      </c>
      <c r="F10" s="3">
        <f t="shared" si="1"/>
        <v>2742.3450000000003</v>
      </c>
    </row>
    <row r="11" spans="2:6" x14ac:dyDescent="0.25">
      <c r="B11" s="3">
        <v>2735.55</v>
      </c>
      <c r="C11" s="16">
        <v>2647.96</v>
      </c>
      <c r="D11">
        <v>2703</v>
      </c>
      <c r="E11" s="3">
        <f t="shared" si="0"/>
        <v>2675.48</v>
      </c>
      <c r="F11" s="3">
        <f t="shared" si="1"/>
        <v>2687.48</v>
      </c>
    </row>
    <row r="12" spans="2:6" x14ac:dyDescent="0.25">
      <c r="B12" s="3">
        <v>2719.2181533333332</v>
      </c>
      <c r="C12" s="16">
        <v>2626.7</v>
      </c>
      <c r="D12">
        <v>2679</v>
      </c>
      <c r="E12" s="3">
        <f t="shared" si="0"/>
        <v>2652.85</v>
      </c>
      <c r="F12" s="3">
        <f t="shared" si="1"/>
        <v>2664.85</v>
      </c>
    </row>
    <row r="13" spans="2:6" x14ac:dyDescent="0.25">
      <c r="B13" s="3">
        <v>2706.9050666666662</v>
      </c>
      <c r="C13" s="16">
        <v>2619.7199999999998</v>
      </c>
      <c r="D13">
        <v>2645</v>
      </c>
      <c r="E13" s="3">
        <f t="shared" si="0"/>
        <v>2632.3599999999997</v>
      </c>
      <c r="F13" s="3">
        <f t="shared" si="1"/>
        <v>2644.3599999999997</v>
      </c>
    </row>
    <row r="14" spans="2:6" x14ac:dyDescent="0.25">
      <c r="B14" s="3">
        <v>2670.0199199999997</v>
      </c>
      <c r="C14" s="16">
        <v>2609.9299999999998</v>
      </c>
      <c r="D14">
        <v>2603</v>
      </c>
      <c r="E14" s="3">
        <f t="shared" si="0"/>
        <v>2606.4650000000001</v>
      </c>
      <c r="F14" s="3">
        <f t="shared" si="1"/>
        <v>2618.4650000000001</v>
      </c>
    </row>
    <row r="15" spans="2:6" x14ac:dyDescent="0.25">
      <c r="B15" s="3">
        <v>2659.6649600000001</v>
      </c>
      <c r="C15" s="16">
        <v>2576.2199999999998</v>
      </c>
      <c r="D15">
        <v>2611</v>
      </c>
      <c r="E15" s="3">
        <f t="shared" si="0"/>
        <v>2593.6099999999997</v>
      </c>
      <c r="F15" s="3">
        <f t="shared" si="1"/>
        <v>2605.6099999999997</v>
      </c>
    </row>
    <row r="16" spans="2:6" x14ac:dyDescent="0.25">
      <c r="B16" s="3">
        <v>2653.0420633333333</v>
      </c>
      <c r="C16" s="16">
        <v>2560.4499999999998</v>
      </c>
      <c r="D16">
        <v>2603</v>
      </c>
      <c r="E16" s="3">
        <f t="shared" si="0"/>
        <v>2581.7249999999999</v>
      </c>
      <c r="F16" s="3">
        <f t="shared" si="1"/>
        <v>2593.7249999999999</v>
      </c>
    </row>
    <row r="17" spans="2:7" x14ac:dyDescent="0.25">
      <c r="B17" s="3">
        <v>2643.22</v>
      </c>
      <c r="C17" s="16">
        <v>2549.5500000000002</v>
      </c>
      <c r="D17">
        <v>2591</v>
      </c>
      <c r="E17" s="3">
        <f t="shared" si="0"/>
        <v>2570.2750000000001</v>
      </c>
      <c r="F17" s="3">
        <f t="shared" si="1"/>
        <v>2582.2750000000001</v>
      </c>
    </row>
    <row r="18" spans="2:7" x14ac:dyDescent="0.25">
      <c r="B18" s="3">
        <v>2645.7865099999999</v>
      </c>
      <c r="C18" s="16">
        <v>2533.16</v>
      </c>
      <c r="D18">
        <v>2561</v>
      </c>
      <c r="E18" s="3">
        <f t="shared" si="0"/>
        <v>2547.08</v>
      </c>
      <c r="F18" s="3">
        <f t="shared" si="1"/>
        <v>2559.08</v>
      </c>
    </row>
    <row r="19" spans="2:7" x14ac:dyDescent="0.25">
      <c r="B19" s="3">
        <v>2634.0901266666669</v>
      </c>
      <c r="C19" s="16">
        <v>2541.71</v>
      </c>
      <c r="D19">
        <v>2561</v>
      </c>
      <c r="E19" s="3">
        <f t="shared" si="0"/>
        <v>2551.355</v>
      </c>
      <c r="F19" s="3">
        <f t="shared" si="1"/>
        <v>2563.355</v>
      </c>
    </row>
    <row r="20" spans="2:7" x14ac:dyDescent="0.25">
      <c r="B20" s="3">
        <v>2624.2950066666663</v>
      </c>
      <c r="C20" s="16">
        <v>2474.77</v>
      </c>
      <c r="D20">
        <v>2551</v>
      </c>
      <c r="E20" s="3">
        <f t="shared" si="0"/>
        <v>2512.8850000000002</v>
      </c>
      <c r="F20" s="3">
        <f t="shared" si="1"/>
        <v>2524.8850000000002</v>
      </c>
    </row>
    <row r="21" spans="2:7" x14ac:dyDescent="0.25">
      <c r="B21" s="3">
        <v>2604.9129033333334</v>
      </c>
      <c r="C21" s="16">
        <v>2463.6799999999998</v>
      </c>
      <c r="D21">
        <v>2541</v>
      </c>
      <c r="E21" s="3">
        <f t="shared" si="0"/>
        <v>2502.34</v>
      </c>
      <c r="F21" s="3">
        <f t="shared" si="1"/>
        <v>2514.34</v>
      </c>
    </row>
    <row r="22" spans="2:7" x14ac:dyDescent="0.25">
      <c r="B22" s="3">
        <v>2583.3951399999996</v>
      </c>
      <c r="C22" s="16">
        <v>2473.89</v>
      </c>
      <c r="D22" s="6">
        <v>2550</v>
      </c>
      <c r="E22" s="3">
        <f t="shared" si="0"/>
        <v>2511.9449999999997</v>
      </c>
      <c r="F22" s="3">
        <f t="shared" si="1"/>
        <v>2523.9449999999997</v>
      </c>
      <c r="G22" s="6"/>
    </row>
    <row r="23" spans="2:7" x14ac:dyDescent="0.25">
      <c r="B23" s="3">
        <v>2596.8046666666669</v>
      </c>
      <c r="C23" s="16">
        <v>2459.81</v>
      </c>
      <c r="D23">
        <v>2549</v>
      </c>
      <c r="E23" s="3">
        <f t="shared" si="0"/>
        <v>2504.4049999999997</v>
      </c>
      <c r="F23" s="3">
        <f t="shared" si="1"/>
        <v>2516.4049999999997</v>
      </c>
    </row>
    <row r="24" spans="2:7" x14ac:dyDescent="0.25">
      <c r="B24" s="3">
        <v>2614.5499033333335</v>
      </c>
      <c r="C24" s="16">
        <v>2475.5100000000002</v>
      </c>
      <c r="D24">
        <v>2545</v>
      </c>
      <c r="E24" s="3">
        <f t="shared" si="0"/>
        <v>2510.2550000000001</v>
      </c>
      <c r="F24" s="3">
        <f t="shared" si="1"/>
        <v>2522.2550000000001</v>
      </c>
    </row>
    <row r="25" spans="2:7" x14ac:dyDescent="0.25">
      <c r="B25" s="3">
        <v>2638.8455066666666</v>
      </c>
      <c r="C25" s="16">
        <v>2524.44</v>
      </c>
      <c r="D25">
        <v>2593</v>
      </c>
      <c r="E25" s="3">
        <f t="shared" si="0"/>
        <v>2558.7200000000003</v>
      </c>
      <c r="F25" s="3">
        <f t="shared" si="1"/>
        <v>2570.7200000000003</v>
      </c>
    </row>
    <row r="26" spans="2:7" x14ac:dyDescent="0.25">
      <c r="B26" s="3">
        <v>2642.1719233333333</v>
      </c>
      <c r="C26" s="16">
        <v>2540.19</v>
      </c>
      <c r="D26">
        <v>2574</v>
      </c>
      <c r="E26" s="3">
        <f t="shared" si="0"/>
        <v>2557.0950000000003</v>
      </c>
      <c r="F26" s="3">
        <f t="shared" si="1"/>
        <v>2569.0950000000003</v>
      </c>
    </row>
    <row r="27" spans="2:7" x14ac:dyDescent="0.25">
      <c r="B27" s="3">
        <v>2652.5958433333335</v>
      </c>
      <c r="C27" s="16">
        <v>2553.77</v>
      </c>
      <c r="D27">
        <v>2554</v>
      </c>
      <c r="E27" s="3">
        <f t="shared" si="0"/>
        <v>2553.8850000000002</v>
      </c>
      <c r="F27" s="3">
        <f t="shared" si="1"/>
        <v>2565.8850000000002</v>
      </c>
    </row>
    <row r="28" spans="2:7" x14ac:dyDescent="0.25">
      <c r="B28" s="3">
        <v>2627.0616833333333</v>
      </c>
      <c r="C28" s="16">
        <v>2568.11</v>
      </c>
      <c r="D28">
        <v>2535</v>
      </c>
      <c r="E28" s="3">
        <f t="shared" si="0"/>
        <v>2551.5550000000003</v>
      </c>
      <c r="F28" s="3">
        <f t="shared" si="1"/>
        <v>2563.5550000000003</v>
      </c>
    </row>
    <row r="29" spans="2:7" x14ac:dyDescent="0.25">
      <c r="B29" s="3">
        <v>2643.6012733333337</v>
      </c>
      <c r="C29" s="16">
        <v>2606.9899999999998</v>
      </c>
      <c r="D29">
        <v>2564</v>
      </c>
      <c r="E29" s="3">
        <f t="shared" si="0"/>
        <v>2585.4949999999999</v>
      </c>
      <c r="F29" s="3">
        <f t="shared" si="1"/>
        <v>2597.4949999999999</v>
      </c>
    </row>
    <row r="30" spans="2:7" x14ac:dyDescent="0.25">
      <c r="B30" s="3">
        <v>2635.3611233333331</v>
      </c>
      <c r="C30" s="16">
        <v>2604.2800000000002</v>
      </c>
      <c r="D30">
        <v>2577</v>
      </c>
      <c r="E30" s="3">
        <f t="shared" si="0"/>
        <v>2590.6400000000003</v>
      </c>
      <c r="F30" s="3">
        <f t="shared" si="1"/>
        <v>2602.6400000000003</v>
      </c>
    </row>
    <row r="31" spans="2:7" x14ac:dyDescent="0.25">
      <c r="B31" s="3">
        <v>2667.2157733333333</v>
      </c>
      <c r="C31" s="16">
        <v>2626.53</v>
      </c>
      <c r="D31">
        <v>2586</v>
      </c>
      <c r="E31" s="3">
        <f t="shared" si="0"/>
        <v>2606.2650000000003</v>
      </c>
      <c r="F31" s="3">
        <f t="shared" si="1"/>
        <v>2618.2650000000003</v>
      </c>
    </row>
    <row r="32" spans="2:7" x14ac:dyDescent="0.25">
      <c r="B32" s="3">
        <v>2692.8441733333329</v>
      </c>
      <c r="C32" s="16">
        <v>2643.91</v>
      </c>
      <c r="D32">
        <v>2605</v>
      </c>
      <c r="E32" s="3">
        <f t="shared" si="0"/>
        <v>2624.4549999999999</v>
      </c>
      <c r="F32" s="3">
        <f t="shared" si="1"/>
        <v>2636.4549999999999</v>
      </c>
    </row>
    <row r="33" spans="2:7" x14ac:dyDescent="0.25">
      <c r="B33" s="3">
        <v>2699.6275100000003</v>
      </c>
      <c r="C33" s="16">
        <v>2714.7</v>
      </c>
      <c r="D33">
        <v>2614</v>
      </c>
      <c r="E33" s="3">
        <f t="shared" si="0"/>
        <v>2664.35</v>
      </c>
      <c r="F33" s="3">
        <f t="shared" si="1"/>
        <v>2676.35</v>
      </c>
    </row>
    <row r="34" spans="2:7" x14ac:dyDescent="0.25">
      <c r="B34" s="3">
        <v>2703.490663333333</v>
      </c>
      <c r="C34" s="16">
        <v>2705.73</v>
      </c>
      <c r="D34">
        <v>2611</v>
      </c>
      <c r="E34" s="3">
        <f t="shared" si="0"/>
        <v>2658.3649999999998</v>
      </c>
      <c r="F34" s="3">
        <f t="shared" si="1"/>
        <v>2670.3649999999998</v>
      </c>
    </row>
    <row r="35" spans="2:7" x14ac:dyDescent="0.25">
      <c r="B35" s="3">
        <v>2684.8227633333336</v>
      </c>
      <c r="C35" s="3">
        <v>2634.7</v>
      </c>
      <c r="D35" s="7">
        <v>2578</v>
      </c>
      <c r="E35" s="3">
        <f t="shared" ref="E35:E66" si="2">AVERAGE(C35:D35)</f>
        <v>2606.35</v>
      </c>
      <c r="F35" s="3">
        <f t="shared" ref="F35:F66" si="3">12+E35</f>
        <v>2618.35</v>
      </c>
      <c r="G35" s="7"/>
    </row>
    <row r="36" spans="2:7" x14ac:dyDescent="0.25">
      <c r="B36" s="3">
        <v>2627.4843700000001</v>
      </c>
      <c r="C36" s="3">
        <v>2627.4843700000001</v>
      </c>
      <c r="D36">
        <v>2569</v>
      </c>
      <c r="E36" s="3">
        <f t="shared" si="2"/>
        <v>2598.2421850000001</v>
      </c>
      <c r="F36" s="3">
        <f t="shared" si="3"/>
        <v>2610.2421850000001</v>
      </c>
    </row>
    <row r="37" spans="2:7" x14ac:dyDescent="0.25">
      <c r="B37" s="3">
        <v>2630.4798249999999</v>
      </c>
      <c r="C37" s="3">
        <v>2630.4798249999999</v>
      </c>
      <c r="D37">
        <v>2559</v>
      </c>
      <c r="E37" s="3">
        <f t="shared" si="2"/>
        <v>2594.7399125000002</v>
      </c>
      <c r="F37" s="3">
        <f t="shared" si="3"/>
        <v>2606.7399125000002</v>
      </c>
    </row>
    <row r="38" spans="2:7" x14ac:dyDescent="0.25">
      <c r="B38" s="3">
        <v>2650.631335</v>
      </c>
      <c r="C38" s="3">
        <v>2650.631335</v>
      </c>
      <c r="D38">
        <v>2566</v>
      </c>
      <c r="E38" s="3">
        <f t="shared" si="2"/>
        <v>2608.3156675</v>
      </c>
      <c r="F38" s="3">
        <f t="shared" si="3"/>
        <v>2620.3156675</v>
      </c>
    </row>
    <row r="39" spans="2:7" x14ac:dyDescent="0.25">
      <c r="B39" s="3">
        <v>2646.7280449999998</v>
      </c>
      <c r="C39" s="3">
        <v>2646.7280449999998</v>
      </c>
      <c r="D39">
        <v>2568</v>
      </c>
      <c r="E39" s="3">
        <f t="shared" si="2"/>
        <v>2607.3640224999999</v>
      </c>
      <c r="F39" s="3">
        <f t="shared" si="3"/>
        <v>2619.3640224999999</v>
      </c>
    </row>
    <row r="40" spans="2:7" x14ac:dyDescent="0.25">
      <c r="B40" s="3">
        <v>2579.3228250000002</v>
      </c>
      <c r="C40" s="3">
        <v>2579.3228250000002</v>
      </c>
      <c r="D40">
        <v>2609</v>
      </c>
      <c r="E40" s="3">
        <f t="shared" si="2"/>
        <v>2594.1614125000001</v>
      </c>
      <c r="F40" s="3">
        <f t="shared" si="3"/>
        <v>2606.1614125000001</v>
      </c>
    </row>
    <row r="41" spans="2:7" x14ac:dyDescent="0.25">
      <c r="B41" s="3">
        <v>2521.5086849999998</v>
      </c>
      <c r="C41" s="3">
        <v>2521.5086849999998</v>
      </c>
      <c r="D41">
        <v>2618</v>
      </c>
      <c r="E41" s="3">
        <f t="shared" si="2"/>
        <v>2569.7543424999999</v>
      </c>
      <c r="F41" s="3">
        <f t="shared" si="3"/>
        <v>2581.7543424999999</v>
      </c>
    </row>
    <row r="42" spans="2:7" x14ac:dyDescent="0.25">
      <c r="B42" s="3">
        <v>2488.7514550000001</v>
      </c>
      <c r="C42" s="3">
        <v>2488.7514550000001</v>
      </c>
      <c r="D42">
        <v>2612</v>
      </c>
      <c r="E42" s="3">
        <f t="shared" si="2"/>
        <v>2550.3757274999998</v>
      </c>
      <c r="F42" s="3">
        <f t="shared" si="3"/>
        <v>2562.3757274999998</v>
      </c>
    </row>
    <row r="43" spans="2:7" x14ac:dyDescent="0.25">
      <c r="B43" s="3">
        <v>2474.9089300000001</v>
      </c>
      <c r="C43" s="3">
        <v>2474.9089300000001</v>
      </c>
      <c r="D43" s="6">
        <v>2571</v>
      </c>
      <c r="E43" s="3">
        <f t="shared" si="2"/>
        <v>2522.9544649999998</v>
      </c>
      <c r="F43" s="3">
        <f t="shared" si="3"/>
        <v>2534.9544649999998</v>
      </c>
      <c r="G43" s="6"/>
    </row>
    <row r="44" spans="2:7" x14ac:dyDescent="0.25">
      <c r="B44" s="3">
        <v>2426.65787</v>
      </c>
      <c r="C44" s="3">
        <v>2426.65787</v>
      </c>
      <c r="D44">
        <v>2583</v>
      </c>
      <c r="E44" s="3">
        <f t="shared" si="2"/>
        <v>2504.828935</v>
      </c>
      <c r="F44" s="3">
        <f t="shared" si="3"/>
        <v>2516.828935</v>
      </c>
    </row>
    <row r="45" spans="2:7" x14ac:dyDescent="0.25">
      <c r="B45" s="3">
        <v>2367.7029700000003</v>
      </c>
      <c r="C45" s="3">
        <v>2367.7029700000003</v>
      </c>
      <c r="D45">
        <v>2595</v>
      </c>
      <c r="E45" s="3">
        <f t="shared" si="2"/>
        <v>2481.3514850000001</v>
      </c>
      <c r="F45" s="3">
        <f t="shared" si="3"/>
        <v>2493.3514850000001</v>
      </c>
    </row>
    <row r="46" spans="2:7" x14ac:dyDescent="0.25">
      <c r="B46" s="3">
        <v>2372.0864449999999</v>
      </c>
      <c r="C46" s="3">
        <v>2372.0864449999999</v>
      </c>
      <c r="D46">
        <v>2527</v>
      </c>
      <c r="E46" s="3">
        <f t="shared" si="2"/>
        <v>2449.5432225</v>
      </c>
      <c r="F46" s="3">
        <f t="shared" si="3"/>
        <v>2461.5432225</v>
      </c>
      <c r="G46">
        <v>2438.54</v>
      </c>
    </row>
    <row r="47" spans="2:7" x14ac:dyDescent="0.25">
      <c r="B47" s="3">
        <v>2372.6946349999998</v>
      </c>
      <c r="C47" s="3">
        <v>2372.6946349999998</v>
      </c>
      <c r="D47">
        <v>2501</v>
      </c>
      <c r="E47" s="3">
        <f t="shared" si="2"/>
        <v>2436.8473174999999</v>
      </c>
      <c r="F47" s="3">
        <f t="shared" si="3"/>
        <v>2448.8473174999999</v>
      </c>
      <c r="G47">
        <v>2388.75</v>
      </c>
    </row>
    <row r="48" spans="2:7" x14ac:dyDescent="0.25">
      <c r="B48" s="3">
        <v>2347.11508</v>
      </c>
      <c r="C48" s="3">
        <v>2347.11508</v>
      </c>
      <c r="D48">
        <v>2454</v>
      </c>
      <c r="E48" s="3">
        <f t="shared" si="2"/>
        <v>2400.5575399999998</v>
      </c>
      <c r="F48" s="3">
        <f t="shared" si="3"/>
        <v>2412.5575399999998</v>
      </c>
      <c r="G48">
        <v>2419.1</v>
      </c>
    </row>
    <row r="49" spans="2:7" x14ac:dyDescent="0.25">
      <c r="B49" s="3">
        <v>2336.4202850000001</v>
      </c>
      <c r="C49" s="3">
        <v>2336.4202850000001</v>
      </c>
      <c r="D49">
        <v>2484</v>
      </c>
      <c r="E49" s="3">
        <f t="shared" si="2"/>
        <v>2410.2101425000001</v>
      </c>
      <c r="F49" s="3">
        <f t="shared" si="3"/>
        <v>2422.2101425000001</v>
      </c>
      <c r="G49">
        <v>2395.44</v>
      </c>
    </row>
    <row r="50" spans="2:7" x14ac:dyDescent="0.25">
      <c r="B50" s="3">
        <v>2319.4898699999999</v>
      </c>
      <c r="C50" s="3">
        <v>2319.4898699999999</v>
      </c>
      <c r="D50">
        <v>2462</v>
      </c>
      <c r="E50" s="3">
        <f t="shared" si="2"/>
        <v>2390.7449349999997</v>
      </c>
      <c r="F50" s="3">
        <f t="shared" si="3"/>
        <v>2402.7449349999997</v>
      </c>
      <c r="G50">
        <v>2339.36</v>
      </c>
    </row>
    <row r="51" spans="2:7" x14ac:dyDescent="0.25">
      <c r="B51" s="3">
        <v>2257.4622600000002</v>
      </c>
      <c r="C51" s="3">
        <v>2257.4622600000002</v>
      </c>
      <c r="D51">
        <v>2410</v>
      </c>
      <c r="E51" s="3">
        <f t="shared" si="2"/>
        <v>2333.7311300000001</v>
      </c>
      <c r="F51" s="3">
        <f t="shared" si="3"/>
        <v>2345.7311300000001</v>
      </c>
      <c r="G51">
        <v>2289.44</v>
      </c>
    </row>
    <row r="52" spans="2:7" x14ac:dyDescent="0.25">
      <c r="B52" s="3">
        <v>2253.3189950000001</v>
      </c>
      <c r="C52" s="3">
        <v>2253.3189950000001</v>
      </c>
      <c r="D52">
        <v>2366</v>
      </c>
      <c r="E52" s="3">
        <f t="shared" si="2"/>
        <v>2309.6594974999998</v>
      </c>
      <c r="F52" s="3">
        <f t="shared" si="3"/>
        <v>2321.6594974999998</v>
      </c>
      <c r="G52">
        <v>2286.5500000000002</v>
      </c>
    </row>
    <row r="53" spans="2:7" x14ac:dyDescent="0.25">
      <c r="B53" s="3">
        <v>2228.6697749999998</v>
      </c>
      <c r="C53" s="3">
        <v>2228.6697749999998</v>
      </c>
      <c r="D53">
        <v>2367</v>
      </c>
      <c r="E53" s="3">
        <f t="shared" si="2"/>
        <v>2297.8348875000001</v>
      </c>
      <c r="F53" s="3">
        <f t="shared" si="3"/>
        <v>2309.8348875000001</v>
      </c>
      <c r="G53">
        <v>2251.91</v>
      </c>
    </row>
    <row r="54" spans="2:7" x14ac:dyDescent="0.25">
      <c r="B54" s="3">
        <v>2217.3324950000001</v>
      </c>
      <c r="C54" s="3">
        <v>2217.3324950000001</v>
      </c>
      <c r="D54">
        <v>2337</v>
      </c>
      <c r="E54" s="3">
        <f t="shared" si="2"/>
        <v>2277.1662475000003</v>
      </c>
      <c r="F54" s="3">
        <f t="shared" si="3"/>
        <v>2289.1662475000003</v>
      </c>
      <c r="G54">
        <v>2291.19</v>
      </c>
    </row>
    <row r="55" spans="2:7" x14ac:dyDescent="0.25">
      <c r="B55" s="3">
        <v>2225.7679399999997</v>
      </c>
      <c r="C55" s="3">
        <v>2225.7679399999997</v>
      </c>
      <c r="D55">
        <v>2378</v>
      </c>
      <c r="E55" s="3">
        <f t="shared" si="2"/>
        <v>2301.8839699999999</v>
      </c>
      <c r="F55" s="3">
        <f t="shared" si="3"/>
        <v>2313.8839699999999</v>
      </c>
      <c r="G55">
        <v>2304.48</v>
      </c>
    </row>
    <row r="56" spans="2:7" x14ac:dyDescent="0.25">
      <c r="B56" s="3">
        <v>2230.4299999999998</v>
      </c>
      <c r="C56" s="3">
        <v>2230.4299999999998</v>
      </c>
      <c r="D56">
        <v>2390</v>
      </c>
      <c r="E56" s="3">
        <f t="shared" si="2"/>
        <v>2310.2150000000001</v>
      </c>
      <c r="F56" s="3">
        <f t="shared" si="3"/>
        <v>2322.2150000000001</v>
      </c>
      <c r="G56">
        <v>2329.2600000000002</v>
      </c>
    </row>
    <row r="57" spans="2:7" x14ac:dyDescent="0.25">
      <c r="B57" s="3">
        <v>2223.13</v>
      </c>
      <c r="C57" s="3">
        <v>2223.13</v>
      </c>
      <c r="D57">
        <v>2413</v>
      </c>
      <c r="E57" s="3">
        <f t="shared" si="2"/>
        <v>2318.0650000000001</v>
      </c>
      <c r="F57" s="3">
        <f t="shared" si="3"/>
        <v>2330.0650000000001</v>
      </c>
      <c r="G57">
        <v>2370.23</v>
      </c>
    </row>
    <row r="58" spans="2:7" x14ac:dyDescent="0.25">
      <c r="B58" s="3">
        <v>2238.21</v>
      </c>
      <c r="C58" s="3">
        <v>2238.21</v>
      </c>
      <c r="D58">
        <v>2452</v>
      </c>
      <c r="E58" s="3">
        <f t="shared" si="2"/>
        <v>2345.105</v>
      </c>
      <c r="F58" s="3">
        <f t="shared" si="3"/>
        <v>2357.105</v>
      </c>
      <c r="G58">
        <v>2391.7600000000002</v>
      </c>
    </row>
    <row r="59" spans="2:7" x14ac:dyDescent="0.25">
      <c r="B59" s="3">
        <v>2273.19</v>
      </c>
      <c r="C59" s="3">
        <v>2273.19</v>
      </c>
      <c r="D59">
        <v>2472</v>
      </c>
      <c r="E59" s="3">
        <f t="shared" si="2"/>
        <v>2372.5950000000003</v>
      </c>
      <c r="F59" s="3">
        <f t="shared" si="3"/>
        <v>2384.5950000000003</v>
      </c>
      <c r="G59">
        <v>2414.0300000000002</v>
      </c>
    </row>
    <row r="60" spans="2:7" x14ac:dyDescent="0.25">
      <c r="B60" s="3">
        <v>2259.2399999999998</v>
      </c>
      <c r="C60" s="3">
        <v>2259.2399999999998</v>
      </c>
      <c r="D60">
        <v>2498</v>
      </c>
      <c r="E60" s="3">
        <f t="shared" si="2"/>
        <v>2378.62</v>
      </c>
      <c r="F60" s="3">
        <f t="shared" si="3"/>
        <v>2390.62</v>
      </c>
      <c r="G60">
        <v>2413.6999999999998</v>
      </c>
    </row>
    <row r="61" spans="2:7" x14ac:dyDescent="0.25">
      <c r="B61" s="3">
        <v>2249.19</v>
      </c>
      <c r="C61" s="3">
        <v>2249.19</v>
      </c>
      <c r="D61">
        <v>2502</v>
      </c>
      <c r="E61" s="3">
        <f t="shared" si="2"/>
        <v>2375.5950000000003</v>
      </c>
      <c r="F61" s="3">
        <f t="shared" si="3"/>
        <v>2387.5950000000003</v>
      </c>
      <c r="G61">
        <v>2441.39</v>
      </c>
    </row>
    <row r="62" spans="2:7" x14ac:dyDescent="0.25">
      <c r="B62" s="3">
        <v>2243.0801700000002</v>
      </c>
      <c r="C62" s="3">
        <v>2243.0801700000002</v>
      </c>
      <c r="D62">
        <v>2533</v>
      </c>
      <c r="E62" s="3">
        <f t="shared" si="2"/>
        <v>2388.0400850000001</v>
      </c>
      <c r="F62" s="3">
        <f t="shared" si="3"/>
        <v>2400.0400850000001</v>
      </c>
      <c r="G62">
        <v>2413.6999999999998</v>
      </c>
    </row>
    <row r="63" spans="2:7" x14ac:dyDescent="0.25">
      <c r="B63" s="3">
        <v>2239.6616199999999</v>
      </c>
      <c r="C63" s="3">
        <v>2239.6616199999999</v>
      </c>
      <c r="D63">
        <v>2512</v>
      </c>
      <c r="E63" s="3">
        <f t="shared" si="2"/>
        <v>2375.8308099999999</v>
      </c>
      <c r="F63" s="3">
        <f t="shared" si="3"/>
        <v>2387.8308099999999</v>
      </c>
      <c r="G63">
        <v>2452</v>
      </c>
    </row>
    <row r="64" spans="2:7" x14ac:dyDescent="0.25">
      <c r="B64" s="3">
        <v>2269.668975</v>
      </c>
      <c r="C64" s="3">
        <v>2269.668975</v>
      </c>
      <c r="D64">
        <v>2547</v>
      </c>
      <c r="E64" s="3">
        <f t="shared" si="2"/>
        <v>2408.3344875000003</v>
      </c>
      <c r="F64" s="3">
        <f t="shared" si="3"/>
        <v>2420.3344875000003</v>
      </c>
      <c r="G64">
        <v>2439.23</v>
      </c>
    </row>
    <row r="65" spans="2:7" x14ac:dyDescent="0.25">
      <c r="B65" s="3">
        <v>2299.3941300000001</v>
      </c>
      <c r="C65" s="3">
        <v>2299.3941300000001</v>
      </c>
      <c r="D65">
        <v>2536</v>
      </c>
      <c r="E65" s="3">
        <f t="shared" si="2"/>
        <v>2417.6970650000003</v>
      </c>
      <c r="F65" s="3">
        <f t="shared" si="3"/>
        <v>2429.6970650000003</v>
      </c>
      <c r="G65">
        <v>2434.4699999999998</v>
      </c>
    </row>
    <row r="66" spans="2:7" x14ac:dyDescent="0.25">
      <c r="B66" s="3">
        <v>2283.5832399999999</v>
      </c>
      <c r="C66" s="3">
        <v>2283.5832399999999</v>
      </c>
      <c r="D66">
        <v>2531</v>
      </c>
      <c r="E66" s="3">
        <f t="shared" si="2"/>
        <v>2407.29162</v>
      </c>
      <c r="F66" s="3">
        <f t="shared" si="3"/>
        <v>2419.29162</v>
      </c>
      <c r="G66">
        <v>2423.71</v>
      </c>
    </row>
    <row r="67" spans="2:7" x14ac:dyDescent="0.25">
      <c r="B67" s="3">
        <v>2291.5335</v>
      </c>
      <c r="C67" s="3">
        <v>2291.5335</v>
      </c>
      <c r="D67">
        <v>2521</v>
      </c>
      <c r="E67" s="3">
        <f t="shared" ref="E67:E98" si="4">AVERAGE(C67:D67)</f>
        <v>2406.2667499999998</v>
      </c>
      <c r="F67" s="3">
        <f t="shared" ref="F67:F98" si="5">12+E67</f>
        <v>2418.2667499999998</v>
      </c>
      <c r="G67">
        <v>2390.4</v>
      </c>
    </row>
    <row r="68" spans="2:7" x14ac:dyDescent="0.25">
      <c r="B68" s="3">
        <v>2258.6734999999999</v>
      </c>
      <c r="C68" s="3">
        <v>2258.6734999999999</v>
      </c>
      <c r="D68">
        <v>2493</v>
      </c>
      <c r="E68" s="3">
        <f t="shared" si="4"/>
        <v>2375.8367499999999</v>
      </c>
      <c r="F68" s="3">
        <f t="shared" si="5"/>
        <v>2387.8367499999999</v>
      </c>
      <c r="G68">
        <v>2370.0500000000002</v>
      </c>
    </row>
    <row r="69" spans="2:7" x14ac:dyDescent="0.25">
      <c r="B69" s="3">
        <v>2280.8784999999998</v>
      </c>
      <c r="C69" s="3">
        <v>2280.8784999999998</v>
      </c>
      <c r="D69">
        <v>2476</v>
      </c>
      <c r="E69" s="3">
        <f t="shared" si="4"/>
        <v>2378.4392499999999</v>
      </c>
      <c r="F69" s="3">
        <f t="shared" si="5"/>
        <v>2390.4392499999999</v>
      </c>
      <c r="G69">
        <v>2344.21</v>
      </c>
    </row>
    <row r="70" spans="2:7" x14ac:dyDescent="0.25">
      <c r="B70" s="3">
        <v>2290.5815000000002</v>
      </c>
      <c r="C70" s="3">
        <v>2290.5815000000002</v>
      </c>
      <c r="D70">
        <v>2455</v>
      </c>
      <c r="E70" s="3">
        <f t="shared" si="4"/>
        <v>2372.7907500000001</v>
      </c>
      <c r="F70" s="3">
        <f t="shared" si="5"/>
        <v>2384.7907500000001</v>
      </c>
      <c r="G70">
        <v>2375.12</v>
      </c>
    </row>
    <row r="71" spans="2:7" x14ac:dyDescent="0.25">
      <c r="B71" s="3">
        <v>2262.5335</v>
      </c>
      <c r="C71" s="3">
        <v>2262.5335</v>
      </c>
      <c r="D71">
        <v>2486</v>
      </c>
      <c r="E71" s="3">
        <f t="shared" si="4"/>
        <v>2374.2667499999998</v>
      </c>
      <c r="F71" s="3">
        <f t="shared" si="5"/>
        <v>2386.2667499999998</v>
      </c>
    </row>
    <row r="72" spans="2:7" x14ac:dyDescent="0.25">
      <c r="B72" s="3">
        <v>2275.2015000000001</v>
      </c>
      <c r="C72" s="3">
        <v>2275.2015000000001</v>
      </c>
      <c r="D72">
        <v>2441</v>
      </c>
      <c r="E72" s="3">
        <f t="shared" si="4"/>
        <v>2358.1007500000001</v>
      </c>
      <c r="F72" s="3">
        <f t="shared" si="5"/>
        <v>2370.1007500000001</v>
      </c>
    </row>
    <row r="73" spans="2:7" x14ac:dyDescent="0.25">
      <c r="B73" s="3">
        <v>2295.5815000000002</v>
      </c>
      <c r="C73" s="3">
        <v>2295.5815000000002</v>
      </c>
      <c r="D73">
        <v>2456</v>
      </c>
      <c r="E73" s="3">
        <f t="shared" si="4"/>
        <v>2375.7907500000001</v>
      </c>
      <c r="F73" s="3">
        <f t="shared" si="5"/>
        <v>2387.7907500000001</v>
      </c>
    </row>
    <row r="74" spans="2:7" x14ac:dyDescent="0.25">
      <c r="B74" s="3">
        <v>2295.6120000000001</v>
      </c>
      <c r="C74" s="3">
        <v>2295.6120000000001</v>
      </c>
      <c r="D74" s="7">
        <v>2453</v>
      </c>
      <c r="E74" s="3">
        <f t="shared" si="4"/>
        <v>2374.306</v>
      </c>
      <c r="F74" s="3">
        <f t="shared" si="5"/>
        <v>2386.306</v>
      </c>
      <c r="G74" s="7"/>
    </row>
    <row r="75" spans="2:7" x14ac:dyDescent="0.25">
      <c r="B75" s="3">
        <v>2257.6514999999999</v>
      </c>
      <c r="C75" s="3">
        <v>2257.6514999999999</v>
      </c>
      <c r="D75" s="6">
        <v>2421</v>
      </c>
      <c r="E75" s="3">
        <f t="shared" si="4"/>
        <v>2339.32575</v>
      </c>
      <c r="F75" s="3">
        <f t="shared" si="5"/>
        <v>2351.32575</v>
      </c>
      <c r="G75" s="6"/>
    </row>
    <row r="76" spans="2:7" x14ac:dyDescent="0.25">
      <c r="B76" s="3">
        <v>2188.7525000000001</v>
      </c>
      <c r="C76" s="3">
        <v>2188.7525000000001</v>
      </c>
      <c r="D76">
        <v>2323</v>
      </c>
      <c r="E76" s="3">
        <f t="shared" si="4"/>
        <v>2255.8762500000003</v>
      </c>
      <c r="F76" s="3">
        <f t="shared" si="5"/>
        <v>2267.8762500000003</v>
      </c>
    </row>
    <row r="77" spans="2:7" x14ac:dyDescent="0.25">
      <c r="B77" s="3">
        <v>2195.0740000000001</v>
      </c>
      <c r="C77" s="3">
        <v>2195.0740000000001</v>
      </c>
      <c r="D77">
        <v>2326</v>
      </c>
      <c r="E77" s="3">
        <f t="shared" si="4"/>
        <v>2260.5370000000003</v>
      </c>
      <c r="F77" s="3">
        <f t="shared" si="5"/>
        <v>2272.5370000000003</v>
      </c>
    </row>
    <row r="78" spans="2:7" x14ac:dyDescent="0.25">
      <c r="B78" s="3">
        <v>2187.8710000000001</v>
      </c>
      <c r="C78" s="3">
        <v>2187.8710000000001</v>
      </c>
      <c r="D78">
        <v>2297</v>
      </c>
      <c r="E78" s="3">
        <f t="shared" si="4"/>
        <v>2242.4355</v>
      </c>
      <c r="F78" s="3">
        <f t="shared" si="5"/>
        <v>2254.4355</v>
      </c>
    </row>
    <row r="79" spans="2:7" x14ac:dyDescent="0.25">
      <c r="B79" s="3">
        <v>2288.7815000000001</v>
      </c>
      <c r="C79" s="3">
        <v>2288.7815000000001</v>
      </c>
      <c r="D79">
        <v>2371</v>
      </c>
      <c r="E79" s="3">
        <f t="shared" si="4"/>
        <v>2329.89075</v>
      </c>
      <c r="F79" s="3">
        <f t="shared" si="5"/>
        <v>2341.89075</v>
      </c>
    </row>
    <row r="80" spans="2:7" x14ac:dyDescent="0.25">
      <c r="B80" s="3">
        <v>2395.9526350000001</v>
      </c>
      <c r="C80" s="3">
        <v>2395.9526350000001</v>
      </c>
      <c r="D80">
        <v>2387</v>
      </c>
      <c r="E80" s="3">
        <f t="shared" si="4"/>
        <v>2391.4763174999998</v>
      </c>
      <c r="F80" s="3">
        <f t="shared" si="5"/>
        <v>2403.4763174999998</v>
      </c>
    </row>
    <row r="81" spans="2:7" x14ac:dyDescent="0.25">
      <c r="B81" s="3">
        <v>2527.3347800000001</v>
      </c>
      <c r="C81" s="3">
        <v>2527.3347800000001</v>
      </c>
      <c r="D81">
        <v>2474</v>
      </c>
      <c r="E81" s="3">
        <f t="shared" si="4"/>
        <v>2500.6673900000001</v>
      </c>
      <c r="F81" s="3">
        <f t="shared" si="5"/>
        <v>2512.6673900000001</v>
      </c>
    </row>
    <row r="82" spans="2:7" x14ac:dyDescent="0.25">
      <c r="B82" s="3">
        <v>2633.1405999999997</v>
      </c>
      <c r="C82" s="3">
        <v>2633.1405999999997</v>
      </c>
      <c r="D82">
        <v>2439</v>
      </c>
      <c r="E82" s="3">
        <f t="shared" si="4"/>
        <v>2536.0702999999999</v>
      </c>
      <c r="F82" s="3">
        <f t="shared" si="5"/>
        <v>2548.0702999999999</v>
      </c>
    </row>
    <row r="83" spans="2:7" x14ac:dyDescent="0.25">
      <c r="B83" s="3">
        <v>2673.718335</v>
      </c>
      <c r="C83" s="3">
        <v>2673.718335</v>
      </c>
      <c r="D83">
        <v>2425</v>
      </c>
      <c r="E83" s="3">
        <f t="shared" si="4"/>
        <v>2549.3591674999998</v>
      </c>
      <c r="F83" s="3">
        <f t="shared" si="5"/>
        <v>2561.3591674999998</v>
      </c>
    </row>
    <row r="84" spans="2:7" x14ac:dyDescent="0.25">
      <c r="B84" s="3">
        <v>2677.6716900000001</v>
      </c>
      <c r="C84" s="3">
        <v>2677.6716900000001</v>
      </c>
      <c r="D84">
        <v>2463</v>
      </c>
      <c r="E84" s="3">
        <f t="shared" si="4"/>
        <v>2570.3358450000001</v>
      </c>
      <c r="F84" s="3">
        <f t="shared" si="5"/>
        <v>2582.3358450000001</v>
      </c>
    </row>
    <row r="85" spans="2:7" x14ac:dyDescent="0.25">
      <c r="B85" s="3">
        <v>2653.322635</v>
      </c>
      <c r="C85" s="3">
        <v>2653.322635</v>
      </c>
      <c r="D85">
        <v>2525</v>
      </c>
      <c r="E85" s="3">
        <f t="shared" si="4"/>
        <v>2589.1613175000002</v>
      </c>
      <c r="F85" s="3">
        <f t="shared" si="5"/>
        <v>2601.1613175000002</v>
      </c>
    </row>
    <row r="86" spans="2:7" x14ac:dyDescent="0.25">
      <c r="B86" s="3">
        <v>2671.830735</v>
      </c>
      <c r="C86" s="3">
        <v>2671.830735</v>
      </c>
      <c r="D86">
        <v>2503</v>
      </c>
      <c r="E86" s="3">
        <f t="shared" si="4"/>
        <v>2587.4153674999998</v>
      </c>
      <c r="F86" s="3">
        <f t="shared" si="5"/>
        <v>2599.4153674999998</v>
      </c>
    </row>
    <row r="87" spans="2:7" x14ac:dyDescent="0.25">
      <c r="B87" s="3">
        <v>2657.5148899999999</v>
      </c>
      <c r="C87" s="3">
        <v>2657.5148899999999</v>
      </c>
      <c r="D87">
        <v>2529</v>
      </c>
      <c r="E87" s="3">
        <f t="shared" si="4"/>
        <v>2593.2574450000002</v>
      </c>
      <c r="F87" s="3">
        <f t="shared" si="5"/>
        <v>2605.2574450000002</v>
      </c>
    </row>
    <row r="88" spans="2:7" x14ac:dyDescent="0.25">
      <c r="B88" s="3">
        <v>2665.9898899999998</v>
      </c>
      <c r="C88" s="3">
        <v>2665.9898899999998</v>
      </c>
      <c r="D88">
        <v>2560</v>
      </c>
      <c r="E88" s="3">
        <f t="shared" si="4"/>
        <v>2612.9949449999999</v>
      </c>
      <c r="F88" s="3">
        <f t="shared" si="5"/>
        <v>2624.9949449999999</v>
      </c>
    </row>
    <row r="89" spans="2:7" x14ac:dyDescent="0.25">
      <c r="B89" s="3">
        <v>2668.2375000000002</v>
      </c>
      <c r="C89" s="3">
        <v>2668.2375000000002</v>
      </c>
      <c r="D89">
        <v>2580</v>
      </c>
      <c r="E89" s="3">
        <f t="shared" si="4"/>
        <v>2624.1187500000001</v>
      </c>
      <c r="F89" s="3">
        <f t="shared" si="5"/>
        <v>2636.1187500000001</v>
      </c>
    </row>
    <row r="90" spans="2:7" x14ac:dyDescent="0.25">
      <c r="B90" s="3">
        <v>2646.5430000000001</v>
      </c>
      <c r="C90" s="3">
        <v>2646.5430000000001</v>
      </c>
      <c r="D90" s="6">
        <v>2593</v>
      </c>
      <c r="E90" s="3">
        <f t="shared" si="4"/>
        <v>2619.7714999999998</v>
      </c>
      <c r="F90" s="3">
        <f t="shared" si="5"/>
        <v>2631.7714999999998</v>
      </c>
      <c r="G90" s="6"/>
    </row>
    <row r="91" spans="2:7" x14ac:dyDescent="0.25">
      <c r="B91" s="3">
        <v>2661.1345000000001</v>
      </c>
      <c r="C91" s="3">
        <v>2661.1345000000001</v>
      </c>
      <c r="D91">
        <v>2608</v>
      </c>
      <c r="E91" s="3">
        <f t="shared" si="4"/>
        <v>2634.5672500000001</v>
      </c>
      <c r="F91" s="3">
        <f t="shared" si="5"/>
        <v>2646.5672500000001</v>
      </c>
    </row>
    <row r="92" spans="2:7" x14ac:dyDescent="0.25">
      <c r="B92" s="3">
        <v>2749.9645</v>
      </c>
      <c r="C92" s="3">
        <v>2749.9645</v>
      </c>
      <c r="D92">
        <v>2691</v>
      </c>
      <c r="E92" s="3">
        <f t="shared" si="4"/>
        <v>2720.48225</v>
      </c>
      <c r="F92" s="3">
        <f t="shared" si="5"/>
        <v>2732.48225</v>
      </c>
    </row>
    <row r="93" spans="2:7" x14ac:dyDescent="0.25">
      <c r="B93" s="3">
        <v>2828.2195000000002</v>
      </c>
      <c r="C93" s="3">
        <v>2828.2195000000002</v>
      </c>
      <c r="D93">
        <v>2796</v>
      </c>
      <c r="E93" s="3">
        <f t="shared" si="4"/>
        <v>2812.1097500000001</v>
      </c>
      <c r="F93" s="3">
        <f t="shared" si="5"/>
        <v>2824.1097500000001</v>
      </c>
    </row>
    <row r="94" spans="2:7" x14ac:dyDescent="0.25">
      <c r="B94" s="3">
        <v>2900.319</v>
      </c>
      <c r="C94" s="3">
        <v>2900.319</v>
      </c>
      <c r="D94">
        <v>2847</v>
      </c>
      <c r="E94" s="3">
        <f t="shared" si="4"/>
        <v>2873.6594999999998</v>
      </c>
      <c r="F94" s="3">
        <f t="shared" si="5"/>
        <v>2885.6594999999998</v>
      </c>
    </row>
    <row r="95" spans="2:7" x14ac:dyDescent="0.25">
      <c r="B95" s="3">
        <v>2914.2649999999999</v>
      </c>
      <c r="C95" s="3">
        <v>2914.2649999999999</v>
      </c>
      <c r="D95">
        <v>2893</v>
      </c>
      <c r="E95" s="3">
        <f t="shared" si="4"/>
        <v>2903.6324999999997</v>
      </c>
      <c r="F95" s="3">
        <f t="shared" si="5"/>
        <v>2915.6324999999997</v>
      </c>
    </row>
    <row r="96" spans="2:7" x14ac:dyDescent="0.25">
      <c r="B96" s="3">
        <v>2904.7849999999999</v>
      </c>
      <c r="C96" s="3">
        <v>2904.7849999999999</v>
      </c>
      <c r="D96">
        <v>2922</v>
      </c>
      <c r="E96" s="3">
        <f t="shared" si="4"/>
        <v>2913.3924999999999</v>
      </c>
      <c r="F96" s="3">
        <f t="shared" si="5"/>
        <v>2925.3924999999999</v>
      </c>
    </row>
    <row r="97" spans="2:6" x14ac:dyDescent="0.25">
      <c r="B97" s="3">
        <v>2901.4549999999999</v>
      </c>
      <c r="C97" s="3">
        <v>2901.4549999999999</v>
      </c>
      <c r="D97">
        <v>2914</v>
      </c>
      <c r="E97" s="3">
        <f t="shared" si="4"/>
        <v>2907.7275</v>
      </c>
      <c r="F97" s="3">
        <f t="shared" si="5"/>
        <v>2919.7275</v>
      </c>
    </row>
    <row r="98" spans="2:6" x14ac:dyDescent="0.25">
      <c r="B98" s="3">
        <v>2908.6350000000002</v>
      </c>
      <c r="C98" s="3">
        <v>2908.6350000000002</v>
      </c>
      <c r="D98">
        <v>2900</v>
      </c>
      <c r="E98" s="3">
        <f t="shared" si="4"/>
        <v>2904.3175000000001</v>
      </c>
      <c r="F98" s="3">
        <f t="shared" si="5"/>
        <v>2916.3175000000001</v>
      </c>
    </row>
    <row r="99" spans="2:6" x14ac:dyDescent="0.25">
      <c r="B99" s="3">
        <f>AVERAGE(B3:B98)*0.24</f>
        <v>608.18128767916664</v>
      </c>
      <c r="C99" s="3">
        <f>AVERAGE(C3:C98)*0.24</f>
        <v>601.19735603749984</v>
      </c>
      <c r="D99" s="3">
        <f>AVERAGE(D3:D98)*0.24</f>
        <v>616.46749999999997</v>
      </c>
      <c r="E99" s="3">
        <f>AVERAGE(E3:E98)*0.24</f>
        <v>608.83242801874985</v>
      </c>
      <c r="F99" s="3">
        <f>AVERAGE(F3:F98)*0.24</f>
        <v>611.71242801874985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02"/>
  <sheetViews>
    <sheetView workbookViewId="0">
      <selection activeCell="J37" sqref="J37"/>
    </sheetView>
  </sheetViews>
  <sheetFormatPr defaultRowHeight="15" x14ac:dyDescent="0.25"/>
  <sheetData>
    <row r="6" spans="2:7" x14ac:dyDescent="0.25">
      <c r="B6" s="3">
        <v>2930.6816666666664</v>
      </c>
      <c r="C6">
        <v>2952.39</v>
      </c>
      <c r="D6" s="3">
        <v>2963</v>
      </c>
      <c r="E6" s="3">
        <v>2933</v>
      </c>
      <c r="F6" s="3">
        <f t="shared" ref="F6:F37" si="0">AVERAGE(C6:E6)</f>
        <v>2949.4633333333331</v>
      </c>
      <c r="G6" s="3">
        <f t="shared" ref="G6:G37" si="1">F6-4</f>
        <v>2945.4633333333331</v>
      </c>
    </row>
    <row r="7" spans="2:7" x14ac:dyDescent="0.25">
      <c r="B7" s="3">
        <v>2885.5933333333332</v>
      </c>
      <c r="C7">
        <v>2924.16</v>
      </c>
      <c r="D7" s="3">
        <v>2933</v>
      </c>
      <c r="E7" s="3">
        <v>2910</v>
      </c>
      <c r="F7" s="3">
        <f t="shared" si="0"/>
        <v>2922.3866666666668</v>
      </c>
      <c r="G7" s="3">
        <f t="shared" si="1"/>
        <v>2918.3866666666668</v>
      </c>
    </row>
    <row r="8" spans="2:7" x14ac:dyDescent="0.25">
      <c r="B8" s="3">
        <v>2884.3116666666665</v>
      </c>
      <c r="C8">
        <v>2893.37</v>
      </c>
      <c r="D8" s="3">
        <v>2915</v>
      </c>
      <c r="E8" s="3">
        <v>2891</v>
      </c>
      <c r="F8" s="3">
        <f t="shared" si="0"/>
        <v>2899.7899999999995</v>
      </c>
      <c r="G8" s="3">
        <f t="shared" si="1"/>
        <v>2895.7899999999995</v>
      </c>
    </row>
    <row r="9" spans="2:7" x14ac:dyDescent="0.25">
      <c r="B9" s="3">
        <v>2815.55</v>
      </c>
      <c r="C9">
        <v>2873.35</v>
      </c>
      <c r="D9" s="3">
        <v>2885</v>
      </c>
      <c r="E9" s="3">
        <v>2875</v>
      </c>
      <c r="F9" s="3">
        <f t="shared" si="0"/>
        <v>2877.7833333333333</v>
      </c>
      <c r="G9" s="3">
        <f t="shared" si="1"/>
        <v>2873.7833333333333</v>
      </c>
    </row>
    <row r="10" spans="2:7" x14ac:dyDescent="0.25">
      <c r="B10" s="3">
        <v>2867.7650000000003</v>
      </c>
      <c r="C10">
        <v>2873.77</v>
      </c>
      <c r="D10" s="3">
        <v>2905</v>
      </c>
      <c r="E10" s="3">
        <v>2886</v>
      </c>
      <c r="F10" s="3">
        <f t="shared" si="0"/>
        <v>2888.2566666666667</v>
      </c>
      <c r="G10" s="3">
        <f t="shared" si="1"/>
        <v>2884.2566666666667</v>
      </c>
    </row>
    <row r="11" spans="2:7" x14ac:dyDescent="0.25">
      <c r="B11" s="3">
        <v>2834.0699999999997</v>
      </c>
      <c r="C11">
        <v>2850.05</v>
      </c>
      <c r="D11" s="3">
        <v>2882</v>
      </c>
      <c r="E11" s="3">
        <v>2868</v>
      </c>
      <c r="F11" s="3">
        <f t="shared" si="0"/>
        <v>2866.6833333333329</v>
      </c>
      <c r="G11" s="3">
        <f t="shared" si="1"/>
        <v>2862.6833333333329</v>
      </c>
    </row>
    <row r="12" spans="2:7" x14ac:dyDescent="0.25">
      <c r="B12" s="3">
        <v>2808.2716666666665</v>
      </c>
      <c r="C12">
        <v>2821.28</v>
      </c>
      <c r="D12" s="3">
        <v>2858</v>
      </c>
      <c r="E12" s="3">
        <v>2845</v>
      </c>
      <c r="F12" s="3">
        <f t="shared" si="0"/>
        <v>2841.4266666666667</v>
      </c>
      <c r="G12" s="3">
        <f t="shared" si="1"/>
        <v>2837.4266666666667</v>
      </c>
    </row>
    <row r="13" spans="2:7" x14ac:dyDescent="0.25">
      <c r="B13" s="3">
        <v>2802.2783333333336</v>
      </c>
      <c r="C13">
        <v>2824.05</v>
      </c>
      <c r="D13" s="3">
        <v>2864</v>
      </c>
      <c r="E13" s="3">
        <v>2853</v>
      </c>
      <c r="F13" s="3">
        <f t="shared" si="0"/>
        <v>2847.0166666666664</v>
      </c>
      <c r="G13" s="3">
        <f t="shared" si="1"/>
        <v>2843.0166666666664</v>
      </c>
    </row>
    <row r="14" spans="2:7" x14ac:dyDescent="0.25">
      <c r="B14" s="3">
        <v>2770.3450000000003</v>
      </c>
      <c r="C14">
        <v>2806.18</v>
      </c>
      <c r="D14" s="3">
        <v>2848</v>
      </c>
      <c r="E14" s="3">
        <v>2843</v>
      </c>
      <c r="F14" s="3">
        <f t="shared" si="0"/>
        <v>2832.3933333333334</v>
      </c>
      <c r="G14" s="3">
        <f t="shared" si="1"/>
        <v>2828.3933333333334</v>
      </c>
    </row>
    <row r="15" spans="2:7" x14ac:dyDescent="0.25">
      <c r="B15" s="3">
        <v>2734.9549999999999</v>
      </c>
      <c r="C15">
        <v>2758.25</v>
      </c>
      <c r="D15" s="3">
        <v>2805</v>
      </c>
      <c r="E15" s="3">
        <v>2801</v>
      </c>
      <c r="F15" s="3">
        <f t="shared" si="0"/>
        <v>2788.0833333333335</v>
      </c>
      <c r="G15" s="3">
        <f t="shared" si="1"/>
        <v>2784.0833333333335</v>
      </c>
    </row>
    <row r="16" spans="2:7" x14ac:dyDescent="0.25">
      <c r="B16" s="3">
        <v>2716.8950000000004</v>
      </c>
      <c r="C16">
        <v>2756.35</v>
      </c>
      <c r="D16" s="3">
        <v>2801</v>
      </c>
      <c r="E16" s="3">
        <v>2797</v>
      </c>
      <c r="F16" s="3">
        <f t="shared" si="0"/>
        <v>2784.7833333333333</v>
      </c>
      <c r="G16" s="3">
        <f t="shared" si="1"/>
        <v>2780.7833333333333</v>
      </c>
    </row>
    <row r="17" spans="2:7" x14ac:dyDescent="0.25">
      <c r="B17" s="3">
        <v>2694.7349999999997</v>
      </c>
      <c r="C17">
        <v>2736.29</v>
      </c>
      <c r="D17" s="3">
        <v>2783</v>
      </c>
      <c r="E17" s="3">
        <v>2783</v>
      </c>
      <c r="F17" s="3">
        <f t="shared" si="0"/>
        <v>2767.4300000000003</v>
      </c>
      <c r="G17" s="3">
        <f t="shared" si="1"/>
        <v>2763.4300000000003</v>
      </c>
    </row>
    <row r="18" spans="2:7" x14ac:dyDescent="0.25">
      <c r="B18" s="3">
        <v>2670.8100000000004</v>
      </c>
      <c r="C18">
        <v>2719.58</v>
      </c>
      <c r="D18" s="3">
        <v>2766</v>
      </c>
      <c r="E18" s="3">
        <v>2772</v>
      </c>
      <c r="F18" s="3">
        <f t="shared" si="0"/>
        <v>2752.5266666666666</v>
      </c>
      <c r="G18" s="3">
        <f t="shared" si="1"/>
        <v>2748.5266666666666</v>
      </c>
    </row>
    <row r="19" spans="2:7" x14ac:dyDescent="0.25">
      <c r="B19" s="3">
        <v>2646.4316666666664</v>
      </c>
      <c r="C19">
        <v>2725.6</v>
      </c>
      <c r="D19" s="3">
        <v>2769</v>
      </c>
      <c r="E19" s="3">
        <v>2780</v>
      </c>
      <c r="F19" s="3">
        <f t="shared" si="0"/>
        <v>2758.2000000000003</v>
      </c>
      <c r="G19" s="3">
        <f t="shared" si="1"/>
        <v>2754.2000000000003</v>
      </c>
    </row>
    <row r="20" spans="2:7" x14ac:dyDescent="0.25">
      <c r="B20" s="3">
        <v>2675.376666666667</v>
      </c>
      <c r="C20">
        <v>2722.46</v>
      </c>
      <c r="D20" s="3">
        <v>2774</v>
      </c>
      <c r="E20" s="3">
        <v>2784</v>
      </c>
      <c r="F20" s="3">
        <f t="shared" si="0"/>
        <v>2760.1533333333332</v>
      </c>
      <c r="G20" s="3">
        <f t="shared" si="1"/>
        <v>2756.1533333333332</v>
      </c>
    </row>
    <row r="21" spans="2:7" x14ac:dyDescent="0.25">
      <c r="B21" s="3">
        <v>2664.6400000000003</v>
      </c>
      <c r="C21">
        <v>2731.59</v>
      </c>
      <c r="D21" s="3">
        <v>2782</v>
      </c>
      <c r="E21" s="3">
        <v>2791</v>
      </c>
      <c r="F21" s="3">
        <f t="shared" si="0"/>
        <v>2768.1966666666667</v>
      </c>
      <c r="G21" s="3">
        <f t="shared" si="1"/>
        <v>2764.1966666666667</v>
      </c>
    </row>
    <row r="22" spans="2:7" x14ac:dyDescent="0.25">
      <c r="B22" s="3">
        <v>2660.1716666666666</v>
      </c>
      <c r="C22">
        <v>2720.62</v>
      </c>
      <c r="D22" s="3">
        <v>2776</v>
      </c>
      <c r="E22" s="3">
        <v>2785</v>
      </c>
      <c r="F22" s="3">
        <f t="shared" si="0"/>
        <v>2760.5399999999995</v>
      </c>
      <c r="G22" s="3">
        <f t="shared" si="1"/>
        <v>2756.5399999999995</v>
      </c>
    </row>
    <row r="23" spans="2:7" x14ac:dyDescent="0.25">
      <c r="B23" s="3">
        <v>2633.6966666666667</v>
      </c>
      <c r="C23">
        <v>2688.22</v>
      </c>
      <c r="D23" s="3">
        <v>2745</v>
      </c>
      <c r="E23" s="3">
        <v>2756</v>
      </c>
      <c r="F23" s="3">
        <f t="shared" si="0"/>
        <v>2729.74</v>
      </c>
      <c r="G23" s="3">
        <f t="shared" si="1"/>
        <v>2725.74</v>
      </c>
    </row>
    <row r="24" spans="2:7" x14ac:dyDescent="0.25">
      <c r="B24" s="3">
        <v>2610.1816666666664</v>
      </c>
      <c r="C24">
        <v>2722.09</v>
      </c>
      <c r="D24" s="3">
        <v>2770</v>
      </c>
      <c r="E24" s="3">
        <v>2786</v>
      </c>
      <c r="F24" s="3">
        <f t="shared" si="0"/>
        <v>2759.3633333333332</v>
      </c>
      <c r="G24" s="3">
        <f t="shared" si="1"/>
        <v>2755.3633333333332</v>
      </c>
    </row>
    <row r="25" spans="2:7" x14ac:dyDescent="0.25">
      <c r="B25" s="8">
        <v>2611.6216666666669</v>
      </c>
      <c r="C25" s="6">
        <v>2710.82</v>
      </c>
      <c r="D25" s="3">
        <v>2762</v>
      </c>
      <c r="E25" s="8">
        <v>2774</v>
      </c>
      <c r="F25" s="3">
        <f t="shared" si="0"/>
        <v>2748.94</v>
      </c>
      <c r="G25" s="3">
        <f t="shared" si="1"/>
        <v>2744.94</v>
      </c>
    </row>
    <row r="26" spans="2:7" x14ac:dyDescent="0.25">
      <c r="B26" s="3">
        <v>2614.2683333333334</v>
      </c>
      <c r="C26">
        <v>2727.5</v>
      </c>
      <c r="D26" s="3">
        <v>2781</v>
      </c>
      <c r="E26" s="3">
        <v>2797</v>
      </c>
      <c r="F26" s="3">
        <f t="shared" si="0"/>
        <v>2768.5</v>
      </c>
      <c r="G26" s="3">
        <f t="shared" si="1"/>
        <v>2764.5</v>
      </c>
    </row>
    <row r="27" spans="2:7" x14ac:dyDescent="0.25">
      <c r="B27" s="3">
        <v>2632.4799999999996</v>
      </c>
      <c r="C27">
        <v>2704.64</v>
      </c>
      <c r="D27" s="3">
        <v>2759</v>
      </c>
      <c r="E27" s="3">
        <v>2773</v>
      </c>
      <c r="F27" s="3">
        <f t="shared" si="0"/>
        <v>2745.5466666666666</v>
      </c>
      <c r="G27" s="3">
        <f t="shared" si="1"/>
        <v>2741.5466666666666</v>
      </c>
    </row>
    <row r="28" spans="2:7" x14ac:dyDescent="0.25">
      <c r="B28" s="3">
        <v>2651.8683333333333</v>
      </c>
      <c r="C28">
        <v>2741.91</v>
      </c>
      <c r="D28" s="3">
        <v>2789</v>
      </c>
      <c r="E28" s="3">
        <v>2803</v>
      </c>
      <c r="F28" s="3">
        <f t="shared" si="0"/>
        <v>2777.97</v>
      </c>
      <c r="G28" s="3">
        <f t="shared" si="1"/>
        <v>2773.97</v>
      </c>
    </row>
    <row r="29" spans="2:7" x14ac:dyDescent="0.25">
      <c r="B29" s="3">
        <v>2649.8866666666663</v>
      </c>
      <c r="C29">
        <v>2754.29</v>
      </c>
      <c r="D29" s="3">
        <v>2796</v>
      </c>
      <c r="E29" s="3">
        <v>2808</v>
      </c>
      <c r="F29" s="3">
        <f t="shared" si="0"/>
        <v>2786.0966666666668</v>
      </c>
      <c r="G29" s="3">
        <f t="shared" si="1"/>
        <v>2782.0966666666668</v>
      </c>
    </row>
    <row r="30" spans="2:7" x14ac:dyDescent="0.25">
      <c r="B30" s="3">
        <v>2648.3966666666665</v>
      </c>
      <c r="C30">
        <v>2731.7</v>
      </c>
      <c r="D30" s="3">
        <v>2773</v>
      </c>
      <c r="E30" s="3">
        <v>2783</v>
      </c>
      <c r="F30" s="3">
        <f t="shared" si="0"/>
        <v>2762.5666666666671</v>
      </c>
      <c r="G30" s="3">
        <f t="shared" si="1"/>
        <v>2758.5666666666671</v>
      </c>
    </row>
    <row r="31" spans="2:7" x14ac:dyDescent="0.25">
      <c r="B31" s="3">
        <v>2629.0033333333331</v>
      </c>
      <c r="C31">
        <v>2715.09</v>
      </c>
      <c r="D31" s="3">
        <v>2751</v>
      </c>
      <c r="E31" s="3">
        <v>2763</v>
      </c>
      <c r="F31" s="3">
        <f t="shared" si="0"/>
        <v>2743.03</v>
      </c>
      <c r="G31" s="3">
        <f t="shared" si="1"/>
        <v>2739.03</v>
      </c>
    </row>
    <row r="32" spans="2:7" x14ac:dyDescent="0.25">
      <c r="B32" s="3">
        <v>2639.7566666666667</v>
      </c>
      <c r="C32">
        <v>2713.5</v>
      </c>
      <c r="D32" s="3">
        <v>2748</v>
      </c>
      <c r="E32" s="3">
        <v>2755</v>
      </c>
      <c r="F32" s="3">
        <f t="shared" si="0"/>
        <v>2738.8333333333335</v>
      </c>
      <c r="G32" s="3">
        <f t="shared" si="1"/>
        <v>2734.8333333333335</v>
      </c>
    </row>
    <row r="33" spans="2:7" x14ac:dyDescent="0.25">
      <c r="B33" s="3">
        <v>2638.0616666666665</v>
      </c>
      <c r="C33">
        <v>2716.51</v>
      </c>
      <c r="D33" s="3">
        <v>2745</v>
      </c>
      <c r="E33" s="3">
        <v>2755</v>
      </c>
      <c r="F33" s="3">
        <f t="shared" si="0"/>
        <v>2738.8366666666666</v>
      </c>
      <c r="G33" s="3">
        <f t="shared" si="1"/>
        <v>2734.8366666666666</v>
      </c>
    </row>
    <row r="34" spans="2:7" x14ac:dyDescent="0.25">
      <c r="B34" s="3">
        <v>2670.9716666666664</v>
      </c>
      <c r="C34">
        <v>2729.13</v>
      </c>
      <c r="D34" s="3">
        <v>2756</v>
      </c>
      <c r="E34" s="3">
        <v>2767</v>
      </c>
      <c r="F34" s="3">
        <f t="shared" si="0"/>
        <v>2750.7100000000005</v>
      </c>
      <c r="G34" s="3">
        <f t="shared" si="1"/>
        <v>2746.7100000000005</v>
      </c>
    </row>
    <row r="35" spans="2:7" x14ac:dyDescent="0.25">
      <c r="B35" s="3">
        <v>2710.395</v>
      </c>
      <c r="C35">
        <v>2790</v>
      </c>
      <c r="D35" s="3">
        <v>2807</v>
      </c>
      <c r="E35" s="3">
        <v>2814</v>
      </c>
      <c r="F35" s="3">
        <f t="shared" si="0"/>
        <v>2803.6666666666665</v>
      </c>
      <c r="G35" s="3">
        <f t="shared" si="1"/>
        <v>2799.6666666666665</v>
      </c>
    </row>
    <row r="36" spans="2:7" x14ac:dyDescent="0.25">
      <c r="B36" s="3">
        <v>2745.7200000000003</v>
      </c>
      <c r="C36">
        <v>2843</v>
      </c>
      <c r="D36" s="3">
        <v>2851</v>
      </c>
      <c r="E36" s="3">
        <v>2856</v>
      </c>
      <c r="F36" s="3">
        <f t="shared" si="0"/>
        <v>2850</v>
      </c>
      <c r="G36" s="3">
        <f t="shared" si="1"/>
        <v>2846</v>
      </c>
    </row>
    <row r="37" spans="2:7" x14ac:dyDescent="0.25">
      <c r="B37" s="3">
        <v>2738.2349999999997</v>
      </c>
      <c r="C37">
        <v>2819</v>
      </c>
      <c r="D37" s="3">
        <v>2825</v>
      </c>
      <c r="E37" s="3">
        <v>2830</v>
      </c>
      <c r="F37" s="3">
        <f t="shared" si="0"/>
        <v>2824.6666666666665</v>
      </c>
      <c r="G37" s="3">
        <f t="shared" si="1"/>
        <v>2820.6666666666665</v>
      </c>
    </row>
    <row r="38" spans="2:7" x14ac:dyDescent="0.25">
      <c r="B38" s="9">
        <v>2726.8816666666671</v>
      </c>
      <c r="C38" s="7">
        <v>2802.74</v>
      </c>
      <c r="D38" s="3">
        <v>2804</v>
      </c>
      <c r="E38" s="9">
        <v>2803</v>
      </c>
      <c r="F38" s="3">
        <f t="shared" ref="F38:F69" si="2">AVERAGE(C38:E38)</f>
        <v>2803.2466666666664</v>
      </c>
      <c r="G38" s="3">
        <f t="shared" ref="G38:G69" si="3">F38-4</f>
        <v>2799.2466666666664</v>
      </c>
    </row>
    <row r="39" spans="2:7" x14ac:dyDescent="0.25">
      <c r="B39" s="3">
        <v>2685.75</v>
      </c>
      <c r="C39">
        <v>2806.1</v>
      </c>
      <c r="D39" s="3">
        <v>2795</v>
      </c>
      <c r="E39" s="3">
        <v>2790</v>
      </c>
      <c r="F39" s="3">
        <f t="shared" si="2"/>
        <v>2797.0333333333333</v>
      </c>
      <c r="G39" s="3">
        <f t="shared" si="3"/>
        <v>2793.0333333333333</v>
      </c>
    </row>
    <row r="40" spans="2:7" x14ac:dyDescent="0.25">
      <c r="B40" s="3">
        <v>2697.41</v>
      </c>
      <c r="C40">
        <v>2804.62</v>
      </c>
      <c r="D40" s="3">
        <v>2787</v>
      </c>
      <c r="E40" s="3">
        <v>2786</v>
      </c>
      <c r="F40" s="3">
        <f t="shared" si="2"/>
        <v>2792.5399999999995</v>
      </c>
      <c r="G40" s="3">
        <f t="shared" si="3"/>
        <v>2788.5399999999995</v>
      </c>
    </row>
    <row r="41" spans="2:7" x14ac:dyDescent="0.25">
      <c r="B41" s="3">
        <v>2711.1725000000001</v>
      </c>
      <c r="C41">
        <v>2793.29</v>
      </c>
      <c r="D41" s="3">
        <v>2771</v>
      </c>
      <c r="E41" s="3">
        <v>2767</v>
      </c>
      <c r="F41" s="3">
        <f t="shared" si="2"/>
        <v>2777.0966666666668</v>
      </c>
      <c r="G41" s="3">
        <f t="shared" si="3"/>
        <v>2773.0966666666668</v>
      </c>
    </row>
    <row r="42" spans="2:7" x14ac:dyDescent="0.25">
      <c r="B42" s="3">
        <v>2696.5374999999999</v>
      </c>
      <c r="C42">
        <v>2767.89</v>
      </c>
      <c r="D42" s="3">
        <v>2740</v>
      </c>
      <c r="E42" s="3">
        <v>2735</v>
      </c>
      <c r="F42" s="3">
        <f t="shared" si="2"/>
        <v>2747.6299999999997</v>
      </c>
      <c r="G42" s="3">
        <f t="shared" si="3"/>
        <v>2743.6299999999997</v>
      </c>
    </row>
    <row r="43" spans="2:7" x14ac:dyDescent="0.25">
      <c r="B43" s="3">
        <v>2644.4875000000002</v>
      </c>
      <c r="C43">
        <v>2739.69</v>
      </c>
      <c r="D43" s="3">
        <v>2699</v>
      </c>
      <c r="E43" s="3">
        <v>2695</v>
      </c>
      <c r="F43" s="3">
        <f t="shared" si="2"/>
        <v>2711.23</v>
      </c>
      <c r="G43" s="3">
        <f t="shared" si="3"/>
        <v>2707.23</v>
      </c>
    </row>
    <row r="44" spans="2:7" x14ac:dyDescent="0.25">
      <c r="B44" s="3">
        <v>2624.88</v>
      </c>
      <c r="C44">
        <v>2682.3</v>
      </c>
      <c r="D44" s="3">
        <v>2643</v>
      </c>
      <c r="E44" s="3">
        <v>2643</v>
      </c>
      <c r="F44" s="3">
        <f t="shared" si="2"/>
        <v>2656.1</v>
      </c>
      <c r="G44" s="3">
        <f t="shared" si="3"/>
        <v>2652.1</v>
      </c>
    </row>
    <row r="45" spans="2:7" x14ac:dyDescent="0.25">
      <c r="B45" s="3">
        <v>2612.79</v>
      </c>
      <c r="C45">
        <v>2650.44</v>
      </c>
      <c r="D45" s="3">
        <v>2608</v>
      </c>
      <c r="E45" s="3">
        <v>2609</v>
      </c>
      <c r="F45" s="3">
        <f t="shared" si="2"/>
        <v>2622.48</v>
      </c>
      <c r="G45" s="3">
        <f t="shared" si="3"/>
        <v>2618.48</v>
      </c>
    </row>
    <row r="46" spans="2:7" x14ac:dyDescent="0.25">
      <c r="B46" s="8">
        <v>2624.37</v>
      </c>
      <c r="C46" s="6">
        <v>2620.5500000000002</v>
      </c>
      <c r="D46" s="3">
        <v>2580</v>
      </c>
      <c r="E46" s="8">
        <v>2578</v>
      </c>
      <c r="F46" s="3">
        <f t="shared" si="2"/>
        <v>2592.85</v>
      </c>
      <c r="G46" s="3">
        <f t="shared" si="3"/>
        <v>2588.85</v>
      </c>
    </row>
    <row r="47" spans="2:7" x14ac:dyDescent="0.25">
      <c r="B47" s="3">
        <v>2591.21</v>
      </c>
      <c r="C47">
        <v>2592.11</v>
      </c>
      <c r="D47" s="3">
        <v>2546</v>
      </c>
      <c r="E47" s="3">
        <v>2547</v>
      </c>
      <c r="F47" s="3">
        <f t="shared" si="2"/>
        <v>2561.7033333333334</v>
      </c>
      <c r="G47" s="3">
        <f t="shared" si="3"/>
        <v>2557.7033333333334</v>
      </c>
    </row>
    <row r="48" spans="2:7" x14ac:dyDescent="0.25">
      <c r="B48" s="3">
        <v>2571.84</v>
      </c>
      <c r="C48">
        <v>2557.91</v>
      </c>
      <c r="D48" s="3">
        <v>2511</v>
      </c>
      <c r="E48" s="3">
        <v>2506</v>
      </c>
      <c r="F48" s="3">
        <f t="shared" si="2"/>
        <v>2524.9699999999998</v>
      </c>
      <c r="G48" s="3">
        <f t="shared" si="3"/>
        <v>2520.9699999999998</v>
      </c>
    </row>
    <row r="49" spans="2:7" x14ac:dyDescent="0.25">
      <c r="B49" s="3">
        <v>2548.1849999999999</v>
      </c>
      <c r="C49">
        <v>2558.15</v>
      </c>
      <c r="D49" s="3">
        <v>2498</v>
      </c>
      <c r="E49" s="3">
        <v>2492</v>
      </c>
      <c r="F49" s="3">
        <f t="shared" si="2"/>
        <v>2516.0499999999997</v>
      </c>
      <c r="G49" s="3">
        <f t="shared" si="3"/>
        <v>2512.0499999999997</v>
      </c>
    </row>
    <row r="50" spans="2:7" x14ac:dyDescent="0.25">
      <c r="B50" s="3">
        <v>2536</v>
      </c>
      <c r="C50">
        <v>2576.09</v>
      </c>
      <c r="D50" s="3">
        <v>2503</v>
      </c>
      <c r="E50" s="3">
        <v>2503</v>
      </c>
      <c r="F50" s="3">
        <f t="shared" si="2"/>
        <v>2527.3633333333332</v>
      </c>
      <c r="G50" s="3">
        <f t="shared" si="3"/>
        <v>2523.3633333333332</v>
      </c>
    </row>
    <row r="51" spans="2:7" x14ac:dyDescent="0.25">
      <c r="B51" s="3">
        <v>2498.8850000000002</v>
      </c>
      <c r="C51">
        <v>2578.9499999999998</v>
      </c>
      <c r="D51" s="3">
        <v>2497</v>
      </c>
      <c r="E51" s="3">
        <v>2505</v>
      </c>
      <c r="F51" s="3">
        <f t="shared" si="2"/>
        <v>2526.9833333333331</v>
      </c>
      <c r="G51" s="3">
        <f t="shared" si="3"/>
        <v>2522.9833333333331</v>
      </c>
    </row>
    <row r="52" spans="2:7" x14ac:dyDescent="0.25">
      <c r="B52" s="3">
        <v>2484.0025000000001</v>
      </c>
      <c r="C52">
        <v>2557.33</v>
      </c>
      <c r="D52" s="3">
        <v>2478</v>
      </c>
      <c r="E52" s="3">
        <v>2484</v>
      </c>
      <c r="F52" s="3">
        <f t="shared" si="2"/>
        <v>2506.4433333333332</v>
      </c>
      <c r="G52" s="3">
        <f t="shared" si="3"/>
        <v>2502.4433333333332</v>
      </c>
    </row>
    <row r="53" spans="2:7" x14ac:dyDescent="0.25">
      <c r="B53" s="3">
        <v>2463.835</v>
      </c>
      <c r="C53">
        <v>2554.46</v>
      </c>
      <c r="D53" s="3">
        <v>2473</v>
      </c>
      <c r="E53" s="3">
        <v>2477</v>
      </c>
      <c r="F53" s="3">
        <f t="shared" si="2"/>
        <v>2501.4866666666667</v>
      </c>
      <c r="G53" s="3">
        <f t="shared" si="3"/>
        <v>2497.4866666666667</v>
      </c>
    </row>
    <row r="54" spans="2:7" x14ac:dyDescent="0.25">
      <c r="B54" s="3">
        <v>2422.15</v>
      </c>
      <c r="C54">
        <v>2511.77</v>
      </c>
      <c r="D54" s="3">
        <v>2434</v>
      </c>
      <c r="E54" s="3">
        <v>2438</v>
      </c>
      <c r="F54" s="3">
        <f t="shared" si="2"/>
        <v>2461.2566666666667</v>
      </c>
      <c r="G54" s="3">
        <f t="shared" si="3"/>
        <v>2457.2566666666667</v>
      </c>
    </row>
    <row r="55" spans="2:7" x14ac:dyDescent="0.25">
      <c r="B55" s="3">
        <v>2385.4250000000002</v>
      </c>
      <c r="C55">
        <v>2494.9</v>
      </c>
      <c r="D55" s="3">
        <v>2413</v>
      </c>
      <c r="E55" s="3">
        <v>2425</v>
      </c>
      <c r="F55" s="3">
        <f t="shared" si="2"/>
        <v>2444.2999999999997</v>
      </c>
      <c r="G55" s="3">
        <f t="shared" si="3"/>
        <v>2440.2999999999997</v>
      </c>
    </row>
    <row r="56" spans="2:7" x14ac:dyDescent="0.25">
      <c r="B56" s="3">
        <v>2393.5475000000001</v>
      </c>
      <c r="C56">
        <v>2473.9499999999998</v>
      </c>
      <c r="D56" s="3">
        <v>2401</v>
      </c>
      <c r="E56" s="3">
        <v>2405</v>
      </c>
      <c r="F56" s="3">
        <f t="shared" si="2"/>
        <v>2426.65</v>
      </c>
      <c r="G56" s="3">
        <f t="shared" si="3"/>
        <v>2422.65</v>
      </c>
    </row>
    <row r="57" spans="2:7" x14ac:dyDescent="0.25">
      <c r="B57" s="3">
        <v>2343.86</v>
      </c>
      <c r="C57">
        <v>2473.58</v>
      </c>
      <c r="D57" s="3">
        <v>2392</v>
      </c>
      <c r="E57" s="3">
        <v>2404</v>
      </c>
      <c r="F57" s="3">
        <f t="shared" si="2"/>
        <v>2423.1933333333332</v>
      </c>
      <c r="G57" s="3">
        <f t="shared" si="3"/>
        <v>2419.1933333333332</v>
      </c>
    </row>
    <row r="58" spans="2:7" x14ac:dyDescent="0.25">
      <c r="B58" s="3">
        <v>2399.2474999999999</v>
      </c>
      <c r="C58">
        <v>2528.29</v>
      </c>
      <c r="D58" s="3">
        <v>2444</v>
      </c>
      <c r="E58" s="3">
        <v>2453</v>
      </c>
      <c r="F58" s="3">
        <f t="shared" si="2"/>
        <v>2475.0966666666668</v>
      </c>
      <c r="G58" s="3">
        <f t="shared" si="3"/>
        <v>2471.0966666666668</v>
      </c>
    </row>
    <row r="59" spans="2:7" x14ac:dyDescent="0.25">
      <c r="B59" s="3">
        <v>2386.6925000000001</v>
      </c>
      <c r="C59">
        <v>2551.5700000000002</v>
      </c>
      <c r="D59" s="3">
        <v>2463</v>
      </c>
      <c r="E59" s="3">
        <v>2467</v>
      </c>
      <c r="F59" s="3">
        <f t="shared" si="2"/>
        <v>2493.8566666666666</v>
      </c>
      <c r="G59" s="3">
        <f t="shared" si="3"/>
        <v>2489.8566666666666</v>
      </c>
    </row>
    <row r="60" spans="2:7" x14ac:dyDescent="0.25">
      <c r="B60" s="3">
        <v>2397.75</v>
      </c>
      <c r="C60">
        <v>2602.6</v>
      </c>
      <c r="D60" s="3">
        <v>2509</v>
      </c>
      <c r="E60" s="3">
        <v>2510</v>
      </c>
      <c r="F60" s="3">
        <f t="shared" si="2"/>
        <v>2540.5333333333333</v>
      </c>
      <c r="G60" s="3">
        <f t="shared" si="3"/>
        <v>2536.5333333333333</v>
      </c>
    </row>
    <row r="61" spans="2:7" x14ac:dyDescent="0.25">
      <c r="B61" s="3">
        <v>2376.355</v>
      </c>
      <c r="C61">
        <v>2595.88</v>
      </c>
      <c r="D61" s="3">
        <v>2503</v>
      </c>
      <c r="E61" s="3">
        <v>2504</v>
      </c>
      <c r="F61" s="3">
        <f t="shared" si="2"/>
        <v>2534.2933333333335</v>
      </c>
      <c r="G61" s="3">
        <f t="shared" si="3"/>
        <v>2530.2933333333335</v>
      </c>
    </row>
    <row r="62" spans="2:7" x14ac:dyDescent="0.25">
      <c r="B62" s="3">
        <v>2388.13</v>
      </c>
      <c r="C62">
        <v>2598.89</v>
      </c>
      <c r="D62" s="3">
        <v>2514</v>
      </c>
      <c r="E62" s="3">
        <v>2514</v>
      </c>
      <c r="F62" s="3">
        <f t="shared" si="2"/>
        <v>2542.2966666666666</v>
      </c>
      <c r="G62" s="3">
        <f t="shared" si="3"/>
        <v>2538.2966666666666</v>
      </c>
    </row>
    <row r="63" spans="2:7" x14ac:dyDescent="0.25">
      <c r="B63" s="3">
        <v>2383.0825</v>
      </c>
      <c r="C63">
        <v>2602.15</v>
      </c>
      <c r="D63" s="3">
        <v>2514</v>
      </c>
      <c r="E63" s="3">
        <v>2518</v>
      </c>
      <c r="F63" s="3">
        <f t="shared" si="2"/>
        <v>2544.7166666666667</v>
      </c>
      <c r="G63" s="3">
        <f t="shared" si="3"/>
        <v>2540.7166666666667</v>
      </c>
    </row>
    <row r="64" spans="2:7" x14ac:dyDescent="0.25">
      <c r="B64" s="3">
        <v>2392.8450000000003</v>
      </c>
      <c r="C64">
        <v>2594.5300000000002</v>
      </c>
      <c r="D64" s="3">
        <v>2509</v>
      </c>
      <c r="E64" s="3">
        <v>2514</v>
      </c>
      <c r="F64" s="3">
        <f t="shared" si="2"/>
        <v>2539.1766666666667</v>
      </c>
      <c r="G64" s="3">
        <f t="shared" si="3"/>
        <v>2535.1766666666667</v>
      </c>
    </row>
    <row r="65" spans="2:7" x14ac:dyDescent="0.25">
      <c r="B65" s="3">
        <v>2406.0700000000002</v>
      </c>
      <c r="C65">
        <v>2596.94</v>
      </c>
      <c r="D65" s="3">
        <v>2515</v>
      </c>
      <c r="E65" s="3">
        <v>2523</v>
      </c>
      <c r="F65" s="3">
        <f t="shared" si="2"/>
        <v>2544.98</v>
      </c>
      <c r="G65" s="3">
        <f t="shared" si="3"/>
        <v>2540.98</v>
      </c>
    </row>
    <row r="66" spans="2:7" x14ac:dyDescent="0.25">
      <c r="B66" s="3">
        <v>2412.71</v>
      </c>
      <c r="C66">
        <v>2629.03</v>
      </c>
      <c r="D66" s="3">
        <v>2541</v>
      </c>
      <c r="E66" s="3">
        <v>2549</v>
      </c>
      <c r="F66" s="3">
        <f t="shared" si="2"/>
        <v>2573.0100000000002</v>
      </c>
      <c r="G66" s="3">
        <f t="shared" si="3"/>
        <v>2569.0100000000002</v>
      </c>
    </row>
    <row r="67" spans="2:7" x14ac:dyDescent="0.25">
      <c r="B67" s="3">
        <v>2452.19</v>
      </c>
      <c r="C67">
        <v>2602</v>
      </c>
      <c r="D67" s="3">
        <v>2527</v>
      </c>
      <c r="E67" s="3">
        <v>2529</v>
      </c>
      <c r="F67" s="3">
        <f t="shared" si="2"/>
        <v>2552.6666666666665</v>
      </c>
      <c r="G67" s="3">
        <f t="shared" si="3"/>
        <v>2548.6666666666665</v>
      </c>
    </row>
    <row r="68" spans="2:7" x14ac:dyDescent="0.25">
      <c r="B68" s="3">
        <v>2450.44</v>
      </c>
      <c r="C68">
        <v>2606</v>
      </c>
      <c r="D68" s="3">
        <v>2530</v>
      </c>
      <c r="E68" s="3">
        <v>2532</v>
      </c>
      <c r="F68" s="3">
        <f t="shared" si="2"/>
        <v>2556</v>
      </c>
      <c r="G68" s="3">
        <f t="shared" si="3"/>
        <v>2552</v>
      </c>
    </row>
    <row r="69" spans="2:7" x14ac:dyDescent="0.25">
      <c r="B69" s="3">
        <v>2469.75</v>
      </c>
      <c r="C69">
        <v>2611</v>
      </c>
      <c r="D69" s="3">
        <v>2539</v>
      </c>
      <c r="E69" s="3">
        <v>2540</v>
      </c>
      <c r="F69" s="3">
        <f t="shared" si="2"/>
        <v>2563.3333333333335</v>
      </c>
      <c r="G69" s="3">
        <f t="shared" si="3"/>
        <v>2559.3333333333335</v>
      </c>
    </row>
    <row r="70" spans="2:7" x14ac:dyDescent="0.25">
      <c r="B70" s="3">
        <v>2464</v>
      </c>
      <c r="C70">
        <v>2577</v>
      </c>
      <c r="D70" s="3">
        <v>2509</v>
      </c>
      <c r="E70" s="3">
        <v>2510</v>
      </c>
      <c r="F70" s="3">
        <f t="shared" ref="F70:F101" si="4">AVERAGE(C70:E70)</f>
        <v>2532</v>
      </c>
      <c r="G70" s="3">
        <f t="shared" ref="G70:G101" si="5">F70-4</f>
        <v>2528</v>
      </c>
    </row>
    <row r="71" spans="2:7" x14ac:dyDescent="0.25">
      <c r="B71" s="3">
        <v>2454.25</v>
      </c>
      <c r="C71">
        <v>2581</v>
      </c>
      <c r="D71" s="3">
        <v>2509</v>
      </c>
      <c r="E71" s="3">
        <v>2519</v>
      </c>
      <c r="F71" s="3">
        <f t="shared" si="4"/>
        <v>2536.3333333333335</v>
      </c>
      <c r="G71" s="3">
        <f t="shared" si="5"/>
        <v>2532.3333333333335</v>
      </c>
    </row>
    <row r="72" spans="2:7" x14ac:dyDescent="0.25">
      <c r="B72" s="3">
        <v>2466.25</v>
      </c>
      <c r="C72">
        <v>2581</v>
      </c>
      <c r="D72" s="3">
        <v>2512</v>
      </c>
      <c r="E72" s="3">
        <v>2523</v>
      </c>
      <c r="F72" s="3">
        <f t="shared" si="4"/>
        <v>2538.6666666666665</v>
      </c>
      <c r="G72" s="3">
        <f t="shared" si="5"/>
        <v>2534.6666666666665</v>
      </c>
    </row>
    <row r="73" spans="2:7" x14ac:dyDescent="0.25">
      <c r="B73" s="3">
        <v>2463.75</v>
      </c>
      <c r="C73">
        <v>2559</v>
      </c>
      <c r="D73" s="3">
        <v>2494</v>
      </c>
      <c r="E73" s="3">
        <v>2499</v>
      </c>
      <c r="F73" s="3">
        <f t="shared" si="4"/>
        <v>2517.3333333333335</v>
      </c>
      <c r="G73" s="3">
        <f t="shared" si="5"/>
        <v>2513.3333333333335</v>
      </c>
    </row>
    <row r="74" spans="2:7" x14ac:dyDescent="0.25">
      <c r="B74" s="3">
        <v>2439.25</v>
      </c>
      <c r="C74">
        <v>2565</v>
      </c>
      <c r="D74" s="3">
        <v>2492</v>
      </c>
      <c r="E74" s="3">
        <v>2496</v>
      </c>
      <c r="F74" s="3">
        <f t="shared" si="4"/>
        <v>2517.6666666666665</v>
      </c>
      <c r="G74" s="3">
        <f t="shared" si="5"/>
        <v>2513.6666666666665</v>
      </c>
    </row>
    <row r="75" spans="2:7" x14ac:dyDescent="0.25">
      <c r="B75" s="3">
        <v>2451.7874999999999</v>
      </c>
      <c r="C75">
        <v>2545.59</v>
      </c>
      <c r="D75" s="3">
        <v>2486</v>
      </c>
      <c r="E75" s="3">
        <v>2491</v>
      </c>
      <c r="F75" s="3">
        <f t="shared" si="4"/>
        <v>2507.5300000000002</v>
      </c>
      <c r="G75" s="3">
        <f t="shared" si="5"/>
        <v>2503.5300000000002</v>
      </c>
    </row>
    <row r="76" spans="2:7" x14ac:dyDescent="0.25">
      <c r="B76" s="3">
        <v>2443.0275000000001</v>
      </c>
      <c r="C76">
        <v>2519.52</v>
      </c>
      <c r="D76" s="3">
        <v>2468</v>
      </c>
      <c r="E76" s="3">
        <v>2467</v>
      </c>
      <c r="F76" s="3">
        <f t="shared" si="4"/>
        <v>2484.84</v>
      </c>
      <c r="G76" s="3">
        <f t="shared" si="5"/>
        <v>2480.84</v>
      </c>
    </row>
    <row r="77" spans="2:7" x14ac:dyDescent="0.25">
      <c r="B77" s="9">
        <v>2435.9650000000001</v>
      </c>
      <c r="C77" s="7">
        <v>2465.0700000000002</v>
      </c>
      <c r="D77" s="3">
        <v>2428</v>
      </c>
      <c r="E77" s="9">
        <v>2424</v>
      </c>
      <c r="F77" s="3">
        <f t="shared" si="4"/>
        <v>2439.0233333333331</v>
      </c>
      <c r="G77" s="3">
        <f t="shared" si="5"/>
        <v>2435.0233333333331</v>
      </c>
    </row>
    <row r="78" spans="2:7" x14ac:dyDescent="0.25">
      <c r="B78" s="8">
        <v>2406.48</v>
      </c>
      <c r="C78" s="6">
        <v>2404.4699999999998</v>
      </c>
      <c r="D78" s="3">
        <v>2384</v>
      </c>
      <c r="E78" s="8">
        <v>2375</v>
      </c>
      <c r="F78" s="3">
        <f t="shared" si="4"/>
        <v>2387.8233333333333</v>
      </c>
      <c r="G78" s="3">
        <f t="shared" si="5"/>
        <v>2383.8233333333333</v>
      </c>
    </row>
    <row r="79" spans="2:7" x14ac:dyDescent="0.25">
      <c r="B79" s="3">
        <v>2335.165</v>
      </c>
      <c r="C79">
        <v>2324.64</v>
      </c>
      <c r="D79" s="3">
        <v>2315</v>
      </c>
      <c r="E79" s="3">
        <v>2309</v>
      </c>
      <c r="F79" s="3">
        <f t="shared" si="4"/>
        <v>2316.2133333333331</v>
      </c>
      <c r="G79" s="3">
        <f t="shared" si="5"/>
        <v>2312.2133333333331</v>
      </c>
    </row>
    <row r="80" spans="2:7" x14ac:dyDescent="0.25">
      <c r="B80" s="3">
        <v>2339.7200000000003</v>
      </c>
      <c r="C80">
        <v>2324.56</v>
      </c>
      <c r="D80" s="3">
        <v>2325</v>
      </c>
      <c r="E80" s="3">
        <v>2317</v>
      </c>
      <c r="F80" s="3">
        <f t="shared" si="4"/>
        <v>2322.1866666666665</v>
      </c>
      <c r="G80" s="3">
        <f t="shared" si="5"/>
        <v>2318.1866666666665</v>
      </c>
    </row>
    <row r="81" spans="2:7" x14ac:dyDescent="0.25">
      <c r="B81" s="3">
        <v>2301.25</v>
      </c>
      <c r="C81">
        <v>2325.08</v>
      </c>
      <c r="D81" s="3">
        <v>2320</v>
      </c>
      <c r="E81" s="3">
        <v>2315</v>
      </c>
      <c r="F81" s="3">
        <f t="shared" si="4"/>
        <v>2320.0266666666666</v>
      </c>
      <c r="G81" s="3">
        <f t="shared" si="5"/>
        <v>2316.0266666666666</v>
      </c>
    </row>
    <row r="82" spans="2:7" x14ac:dyDescent="0.25">
      <c r="B82" s="3">
        <v>2382.395</v>
      </c>
      <c r="C82">
        <v>2395.42</v>
      </c>
      <c r="D82" s="3">
        <v>2398</v>
      </c>
      <c r="E82" s="3">
        <v>2394</v>
      </c>
      <c r="F82" s="3">
        <f t="shared" si="4"/>
        <v>2395.8066666666668</v>
      </c>
      <c r="G82" s="3">
        <f t="shared" si="5"/>
        <v>2391.8066666666668</v>
      </c>
    </row>
    <row r="83" spans="2:7" x14ac:dyDescent="0.25">
      <c r="B83" s="3">
        <v>2464.25</v>
      </c>
      <c r="C83">
        <v>2500.46</v>
      </c>
      <c r="D83" s="3">
        <v>2502</v>
      </c>
      <c r="E83" s="3">
        <v>2494</v>
      </c>
      <c r="F83" s="3">
        <f t="shared" si="4"/>
        <v>2498.8200000000002</v>
      </c>
      <c r="G83" s="3">
        <f t="shared" si="5"/>
        <v>2494.8200000000002</v>
      </c>
    </row>
    <row r="84" spans="2:7" x14ac:dyDescent="0.25">
      <c r="B84" s="3">
        <v>2574.6774999999998</v>
      </c>
      <c r="C84">
        <v>2582.41</v>
      </c>
      <c r="D84" s="3">
        <v>2592</v>
      </c>
      <c r="E84" s="3">
        <v>2585</v>
      </c>
      <c r="F84" s="3">
        <f t="shared" si="4"/>
        <v>2586.4699999999998</v>
      </c>
      <c r="G84" s="3">
        <f t="shared" si="5"/>
        <v>2582.4699999999998</v>
      </c>
    </row>
    <row r="85" spans="2:7" x14ac:dyDescent="0.25">
      <c r="B85" s="3">
        <v>2703.25</v>
      </c>
      <c r="C85">
        <v>2728.09</v>
      </c>
      <c r="D85" s="3">
        <v>2734</v>
      </c>
      <c r="E85" s="3">
        <v>2723</v>
      </c>
      <c r="F85" s="3">
        <f t="shared" si="4"/>
        <v>2728.3633333333332</v>
      </c>
      <c r="G85" s="3">
        <f t="shared" si="5"/>
        <v>2724.3633333333332</v>
      </c>
    </row>
    <row r="86" spans="2:7" x14ac:dyDescent="0.25">
      <c r="B86" s="3">
        <v>2764.8</v>
      </c>
      <c r="C86">
        <v>2782.51</v>
      </c>
      <c r="D86" s="3">
        <v>2797</v>
      </c>
      <c r="E86" s="3">
        <v>2787</v>
      </c>
      <c r="F86" s="3">
        <f t="shared" si="4"/>
        <v>2788.8366666666666</v>
      </c>
      <c r="G86" s="3">
        <f t="shared" si="5"/>
        <v>2784.8366666666666</v>
      </c>
    </row>
    <row r="87" spans="2:7" x14ac:dyDescent="0.25">
      <c r="B87" s="3">
        <v>2800.4850000000001</v>
      </c>
      <c r="C87">
        <v>2862.55</v>
      </c>
      <c r="D87" s="3">
        <v>2866</v>
      </c>
      <c r="E87" s="3">
        <v>2856</v>
      </c>
      <c r="F87" s="3">
        <f t="shared" si="4"/>
        <v>2861.5166666666664</v>
      </c>
      <c r="G87" s="3">
        <f t="shared" si="5"/>
        <v>2857.5166666666664</v>
      </c>
    </row>
    <row r="88" spans="2:7" x14ac:dyDescent="0.25">
      <c r="B88" s="3">
        <v>2790</v>
      </c>
      <c r="C88">
        <v>2830.46</v>
      </c>
      <c r="D88" s="3">
        <v>2839</v>
      </c>
      <c r="E88" s="3">
        <v>2834</v>
      </c>
      <c r="F88" s="3">
        <f t="shared" si="4"/>
        <v>2834.4866666666662</v>
      </c>
      <c r="G88" s="3">
        <f t="shared" si="5"/>
        <v>2830.4866666666662</v>
      </c>
    </row>
    <row r="89" spans="2:7" x14ac:dyDescent="0.25">
      <c r="B89" s="3">
        <v>2792.4949999999999</v>
      </c>
      <c r="C89">
        <v>2845.33</v>
      </c>
      <c r="D89" s="3">
        <v>2853</v>
      </c>
      <c r="E89" s="3">
        <v>2844</v>
      </c>
      <c r="F89" s="3">
        <f t="shared" si="4"/>
        <v>2847.4433333333332</v>
      </c>
      <c r="G89" s="3">
        <f t="shared" si="5"/>
        <v>2843.4433333333332</v>
      </c>
    </row>
    <row r="90" spans="2:7" x14ac:dyDescent="0.25">
      <c r="B90" s="3">
        <v>2789.4025000000001</v>
      </c>
      <c r="C90">
        <v>2847.02</v>
      </c>
      <c r="D90" s="3">
        <v>2853</v>
      </c>
      <c r="E90" s="3">
        <v>2846</v>
      </c>
      <c r="F90" s="3">
        <f t="shared" si="4"/>
        <v>2848.6733333333336</v>
      </c>
      <c r="G90" s="3">
        <f t="shared" si="5"/>
        <v>2844.6733333333336</v>
      </c>
    </row>
    <row r="91" spans="2:7" x14ac:dyDescent="0.25">
      <c r="B91" s="3">
        <v>2764.8</v>
      </c>
      <c r="C91">
        <v>2816.47</v>
      </c>
      <c r="D91" s="3">
        <v>2825</v>
      </c>
      <c r="E91" s="3">
        <v>2820</v>
      </c>
      <c r="F91" s="3">
        <f t="shared" si="4"/>
        <v>2820.49</v>
      </c>
      <c r="G91" s="3">
        <f t="shared" si="5"/>
        <v>2816.49</v>
      </c>
    </row>
    <row r="92" spans="2:7" x14ac:dyDescent="0.25">
      <c r="B92" s="3">
        <v>2780.2649999999999</v>
      </c>
      <c r="C92">
        <v>2674.55</v>
      </c>
      <c r="D92" s="3">
        <v>2717</v>
      </c>
      <c r="E92" s="3">
        <v>2711</v>
      </c>
      <c r="F92" s="3">
        <f t="shared" si="4"/>
        <v>2700.85</v>
      </c>
      <c r="G92" s="3">
        <f t="shared" si="5"/>
        <v>2696.85</v>
      </c>
    </row>
    <row r="93" spans="2:7" x14ac:dyDescent="0.25">
      <c r="B93" s="8">
        <v>2791.96</v>
      </c>
      <c r="C93" s="6">
        <v>2810.43</v>
      </c>
      <c r="D93" s="3">
        <v>2828</v>
      </c>
      <c r="E93" s="8">
        <v>2847</v>
      </c>
      <c r="F93" s="3">
        <f t="shared" si="4"/>
        <v>2828.4766666666669</v>
      </c>
      <c r="G93" s="3">
        <f t="shared" si="5"/>
        <v>2824.4766666666669</v>
      </c>
    </row>
    <row r="94" spans="2:7" x14ac:dyDescent="0.25">
      <c r="B94" s="3">
        <v>2809.6125000000002</v>
      </c>
      <c r="C94">
        <v>2797</v>
      </c>
      <c r="D94" s="3">
        <v>2823</v>
      </c>
      <c r="E94" s="3">
        <v>2816</v>
      </c>
      <c r="F94" s="3">
        <f t="shared" si="4"/>
        <v>2812</v>
      </c>
      <c r="G94" s="3">
        <f t="shared" si="5"/>
        <v>2808</v>
      </c>
    </row>
    <row r="95" spans="2:7" x14ac:dyDescent="0.25">
      <c r="B95" s="3">
        <v>2854.4025000000001</v>
      </c>
      <c r="C95">
        <v>2859.41</v>
      </c>
      <c r="D95" s="3">
        <v>2884</v>
      </c>
      <c r="E95" s="3">
        <v>2881</v>
      </c>
      <c r="F95" s="3">
        <f t="shared" si="4"/>
        <v>2874.8033333333333</v>
      </c>
      <c r="G95" s="3">
        <f t="shared" si="5"/>
        <v>2870.8033333333333</v>
      </c>
    </row>
    <row r="96" spans="2:7" x14ac:dyDescent="0.25">
      <c r="B96" s="3">
        <v>2924.165</v>
      </c>
      <c r="C96">
        <v>2911.04</v>
      </c>
      <c r="D96" s="3">
        <v>2938</v>
      </c>
      <c r="E96" s="3">
        <v>2928</v>
      </c>
      <c r="F96" s="3">
        <f t="shared" si="4"/>
        <v>2925.6800000000003</v>
      </c>
      <c r="G96" s="3">
        <f t="shared" si="5"/>
        <v>2921.6800000000003</v>
      </c>
    </row>
    <row r="97" spans="2:7" x14ac:dyDescent="0.25">
      <c r="B97" s="3">
        <v>2923.2125000000001</v>
      </c>
      <c r="C97">
        <v>2946.15</v>
      </c>
      <c r="D97" s="3">
        <v>2967</v>
      </c>
      <c r="E97" s="3">
        <v>2964</v>
      </c>
      <c r="F97" s="3">
        <f t="shared" si="4"/>
        <v>2959.0499999999997</v>
      </c>
      <c r="G97" s="3">
        <f t="shared" si="5"/>
        <v>2955.0499999999997</v>
      </c>
    </row>
    <row r="98" spans="2:7" x14ac:dyDescent="0.25">
      <c r="B98" s="3">
        <v>2960.6824999999999</v>
      </c>
      <c r="C98">
        <v>2972.44</v>
      </c>
      <c r="D98" s="3">
        <v>2994</v>
      </c>
      <c r="E98" s="3">
        <v>2993</v>
      </c>
      <c r="F98" s="3">
        <f t="shared" si="4"/>
        <v>2986.48</v>
      </c>
      <c r="G98" s="3">
        <f t="shared" si="5"/>
        <v>2982.48</v>
      </c>
    </row>
    <row r="99" spans="2:7" x14ac:dyDescent="0.25">
      <c r="B99" s="3">
        <v>3015.2575000000002</v>
      </c>
      <c r="C99">
        <v>2983.09</v>
      </c>
      <c r="D99" s="3">
        <v>3017</v>
      </c>
      <c r="E99" s="3">
        <v>3012</v>
      </c>
      <c r="F99" s="3">
        <f t="shared" si="4"/>
        <v>3004.03</v>
      </c>
      <c r="G99" s="3">
        <f t="shared" si="5"/>
        <v>3000.03</v>
      </c>
    </row>
    <row r="100" spans="2:7" x14ac:dyDescent="0.25">
      <c r="B100" s="3">
        <v>3016.9724999999999</v>
      </c>
      <c r="C100">
        <v>2949.2</v>
      </c>
      <c r="D100" s="3">
        <v>2993</v>
      </c>
      <c r="E100" s="3">
        <v>2995</v>
      </c>
      <c r="F100" s="3">
        <f t="shared" si="4"/>
        <v>2979.0666666666671</v>
      </c>
      <c r="G100" s="3">
        <f t="shared" si="5"/>
        <v>2975.0666666666671</v>
      </c>
    </row>
    <row r="101" spans="2:7" x14ac:dyDescent="0.25">
      <c r="B101" s="3">
        <v>3012.8975</v>
      </c>
      <c r="C101">
        <v>2927</v>
      </c>
      <c r="D101" s="3">
        <v>2979</v>
      </c>
      <c r="E101" s="3">
        <v>2983</v>
      </c>
      <c r="F101" s="3">
        <f t="shared" si="4"/>
        <v>2963</v>
      </c>
      <c r="G101" s="3">
        <f t="shared" si="5"/>
        <v>2959</v>
      </c>
    </row>
    <row r="102" spans="2:7" x14ac:dyDescent="0.25">
      <c r="B102" s="3">
        <f t="shared" ref="B102:G102" si="6">AVERAGE(B6:B101)*0.24</f>
        <v>629.95696041666645</v>
      </c>
      <c r="C102" s="3">
        <f t="shared" si="6"/>
        <v>645.76349999999991</v>
      </c>
      <c r="D102" s="3">
        <f t="shared" si="6"/>
        <v>643.22249999999997</v>
      </c>
      <c r="E102" s="3">
        <f t="shared" si="6"/>
        <v>643.29999999999995</v>
      </c>
      <c r="F102" s="3">
        <f t="shared" si="6"/>
        <v>644.09533333333343</v>
      </c>
      <c r="G102" s="3">
        <f t="shared" si="6"/>
        <v>643.13533333333339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8"/>
  <sheetViews>
    <sheetView workbookViewId="0">
      <selection activeCell="M35" sqref="M34:M35"/>
    </sheetView>
  </sheetViews>
  <sheetFormatPr defaultRowHeight="15" x14ac:dyDescent="0.25"/>
  <sheetData>
    <row r="2" spans="2:7" x14ac:dyDescent="0.25">
      <c r="B2">
        <v>2914.00893</v>
      </c>
      <c r="C2">
        <f t="shared" ref="C2:C33" si="0">B2-140</f>
        <v>2774.00893</v>
      </c>
      <c r="D2">
        <v>2985</v>
      </c>
      <c r="E2">
        <v>2841.8</v>
      </c>
      <c r="F2" s="3">
        <f t="shared" ref="F2:F33" si="1">AVERAGE(C2:E2)</f>
        <v>2866.9363099999996</v>
      </c>
      <c r="G2" s="3">
        <v>2800</v>
      </c>
    </row>
    <row r="3" spans="2:7" x14ac:dyDescent="0.25">
      <c r="B3">
        <v>2886.1459199999999</v>
      </c>
      <c r="C3">
        <f t="shared" si="0"/>
        <v>2746.1459199999999</v>
      </c>
      <c r="D3">
        <v>2911</v>
      </c>
      <c r="E3">
        <v>2778.01</v>
      </c>
      <c r="F3" s="3">
        <f t="shared" si="1"/>
        <v>2811.7186400000005</v>
      </c>
      <c r="G3" s="3">
        <f t="shared" ref="G3:G34" si="2">F3-16</f>
        <v>2795.7186400000005</v>
      </c>
    </row>
    <row r="4" spans="2:7" x14ac:dyDescent="0.25">
      <c r="B4">
        <v>2855.7561900000001</v>
      </c>
      <c r="C4">
        <f t="shared" si="0"/>
        <v>2715.7561900000001</v>
      </c>
      <c r="D4">
        <v>2903</v>
      </c>
      <c r="E4">
        <v>2779.33</v>
      </c>
      <c r="F4" s="3">
        <f t="shared" si="1"/>
        <v>2799.3620633333335</v>
      </c>
      <c r="G4" s="3">
        <f t="shared" si="2"/>
        <v>2783.3620633333335</v>
      </c>
    </row>
    <row r="5" spans="2:7" x14ac:dyDescent="0.25">
      <c r="B5">
        <v>2835.9964500000001</v>
      </c>
      <c r="C5">
        <f t="shared" si="0"/>
        <v>2695.9964500000001</v>
      </c>
      <c r="D5">
        <v>2841</v>
      </c>
      <c r="E5">
        <v>2726.66</v>
      </c>
      <c r="F5" s="3">
        <f t="shared" si="1"/>
        <v>2754.55215</v>
      </c>
      <c r="G5" s="3">
        <f t="shared" si="2"/>
        <v>2738.55215</v>
      </c>
    </row>
    <row r="6" spans="2:7" x14ac:dyDescent="0.25">
      <c r="B6">
        <v>2836.4109899999999</v>
      </c>
      <c r="C6">
        <f t="shared" si="0"/>
        <v>2696.4109899999999</v>
      </c>
      <c r="D6">
        <v>2867</v>
      </c>
      <c r="E6">
        <v>2763.51</v>
      </c>
      <c r="F6" s="3">
        <f t="shared" si="1"/>
        <v>2775.6403300000002</v>
      </c>
      <c r="G6" s="3">
        <f t="shared" si="2"/>
        <v>2759.6403300000002</v>
      </c>
    </row>
    <row r="7" spans="2:7" x14ac:dyDescent="0.25">
      <c r="B7">
        <v>2812.99935</v>
      </c>
      <c r="C7">
        <f t="shared" si="0"/>
        <v>2672.99935</v>
      </c>
      <c r="D7">
        <v>2803</v>
      </c>
      <c r="E7">
        <v>2707.51</v>
      </c>
      <c r="F7" s="3">
        <f t="shared" si="1"/>
        <v>2727.8364500000002</v>
      </c>
      <c r="G7" s="3">
        <f t="shared" si="2"/>
        <v>2711.8364500000002</v>
      </c>
    </row>
    <row r="8" spans="2:7" x14ac:dyDescent="0.25">
      <c r="B8">
        <v>2784.6033600000001</v>
      </c>
      <c r="C8">
        <f t="shared" si="0"/>
        <v>2644.6033600000001</v>
      </c>
      <c r="D8">
        <v>2768</v>
      </c>
      <c r="E8">
        <v>2680.4</v>
      </c>
      <c r="F8" s="3">
        <f t="shared" si="1"/>
        <v>2697.6677866666669</v>
      </c>
      <c r="G8" s="3">
        <f t="shared" si="2"/>
        <v>2681.6677866666669</v>
      </c>
    </row>
    <row r="9" spans="2:7" x14ac:dyDescent="0.25">
      <c r="B9">
        <v>2787.3373500000002</v>
      </c>
      <c r="C9">
        <f t="shared" si="0"/>
        <v>2647.3373500000002</v>
      </c>
      <c r="D9">
        <v>2766</v>
      </c>
      <c r="E9">
        <v>2686.87</v>
      </c>
      <c r="F9" s="3">
        <f t="shared" si="1"/>
        <v>2700.0691166666666</v>
      </c>
      <c r="G9" s="3">
        <f t="shared" si="2"/>
        <v>2684.0691166666666</v>
      </c>
    </row>
    <row r="10" spans="2:7" x14ac:dyDescent="0.25">
      <c r="B10">
        <v>2769.6996599999998</v>
      </c>
      <c r="C10">
        <f t="shared" si="0"/>
        <v>2629.6996599999998</v>
      </c>
      <c r="D10">
        <v>2769</v>
      </c>
      <c r="E10">
        <v>2695.46</v>
      </c>
      <c r="F10" s="3">
        <f t="shared" si="1"/>
        <v>2698.0532200000002</v>
      </c>
      <c r="G10" s="3">
        <f t="shared" si="2"/>
        <v>2682.0532200000002</v>
      </c>
    </row>
    <row r="11" spans="2:7" x14ac:dyDescent="0.25">
      <c r="B11">
        <v>2722.39275</v>
      </c>
      <c r="C11">
        <f t="shared" si="0"/>
        <v>2582.39275</v>
      </c>
      <c r="D11">
        <v>2723</v>
      </c>
      <c r="E11">
        <v>2653.43</v>
      </c>
      <c r="F11" s="3">
        <f t="shared" si="1"/>
        <v>2652.9409166666665</v>
      </c>
      <c r="G11" s="3">
        <f t="shared" si="2"/>
        <v>2636.9409166666665</v>
      </c>
    </row>
    <row r="12" spans="2:7" x14ac:dyDescent="0.25">
      <c r="B12">
        <v>2720.5174499999998</v>
      </c>
      <c r="C12">
        <f t="shared" si="0"/>
        <v>2580.5174499999998</v>
      </c>
      <c r="D12">
        <v>2694</v>
      </c>
      <c r="E12">
        <v>2628.68</v>
      </c>
      <c r="F12" s="3">
        <f t="shared" si="1"/>
        <v>2634.3991499999997</v>
      </c>
      <c r="G12" s="3">
        <f t="shared" si="2"/>
        <v>2618.3991499999997</v>
      </c>
    </row>
    <row r="13" spans="2:7" x14ac:dyDescent="0.25">
      <c r="B13">
        <v>2700.7182299999999</v>
      </c>
      <c r="C13">
        <f t="shared" si="0"/>
        <v>2560.7182299999999</v>
      </c>
      <c r="D13">
        <v>2667</v>
      </c>
      <c r="E13">
        <v>2605.85</v>
      </c>
      <c r="F13" s="3">
        <f t="shared" si="1"/>
        <v>2611.1894100000004</v>
      </c>
      <c r="G13" s="3">
        <f t="shared" si="2"/>
        <v>2595.1894100000004</v>
      </c>
    </row>
    <row r="14" spans="2:7" x14ac:dyDescent="0.25">
      <c r="B14">
        <v>2684.2254600000001</v>
      </c>
      <c r="C14">
        <f t="shared" si="0"/>
        <v>2544.2254600000001</v>
      </c>
      <c r="D14">
        <v>2663</v>
      </c>
      <c r="E14">
        <v>2606.3000000000002</v>
      </c>
      <c r="F14" s="3">
        <f t="shared" si="1"/>
        <v>2604.5084866666666</v>
      </c>
      <c r="G14" s="3">
        <f t="shared" si="2"/>
        <v>2588.5084866666666</v>
      </c>
    </row>
    <row r="15" spans="2:7" x14ac:dyDescent="0.25">
      <c r="B15">
        <v>2690.1671999999999</v>
      </c>
      <c r="C15">
        <f t="shared" si="0"/>
        <v>2550.1671999999999</v>
      </c>
      <c r="D15">
        <v>2646</v>
      </c>
      <c r="E15">
        <v>2590.4299999999998</v>
      </c>
      <c r="F15" s="3">
        <f t="shared" si="1"/>
        <v>2595.5324000000001</v>
      </c>
      <c r="G15" s="3">
        <f t="shared" si="2"/>
        <v>2579.5324000000001</v>
      </c>
    </row>
    <row r="16" spans="2:7" x14ac:dyDescent="0.25">
      <c r="B16">
        <v>2687.0680200000002</v>
      </c>
      <c r="C16">
        <f t="shared" si="0"/>
        <v>2547.0680200000002</v>
      </c>
      <c r="D16">
        <v>2636</v>
      </c>
      <c r="E16">
        <v>2581.7600000000002</v>
      </c>
      <c r="F16" s="3">
        <f t="shared" si="1"/>
        <v>2588.2760066666669</v>
      </c>
      <c r="G16" s="3">
        <f t="shared" si="2"/>
        <v>2572.2760066666669</v>
      </c>
    </row>
    <row r="17" spans="2:7" x14ac:dyDescent="0.25">
      <c r="B17">
        <v>2696.07933</v>
      </c>
      <c r="C17">
        <f t="shared" si="0"/>
        <v>2556.07933</v>
      </c>
      <c r="D17">
        <v>2642</v>
      </c>
      <c r="E17">
        <v>2589.7600000000002</v>
      </c>
      <c r="F17" s="3">
        <f t="shared" si="1"/>
        <v>2595.9464433333337</v>
      </c>
      <c r="G17" s="3">
        <f t="shared" si="2"/>
        <v>2579.9464433333337</v>
      </c>
    </row>
    <row r="18" spans="2:7" x14ac:dyDescent="0.25">
      <c r="B18">
        <v>2685.2519399999996</v>
      </c>
      <c r="C18">
        <f t="shared" si="0"/>
        <v>2545.2519399999996</v>
      </c>
      <c r="D18">
        <v>2616</v>
      </c>
      <c r="E18">
        <v>2563.9699999999998</v>
      </c>
      <c r="F18" s="3">
        <f t="shared" si="1"/>
        <v>2575.0739799999997</v>
      </c>
      <c r="G18" s="3">
        <f t="shared" si="2"/>
        <v>2559.0739799999997</v>
      </c>
    </row>
    <row r="19" spans="2:7" x14ac:dyDescent="0.25">
      <c r="B19">
        <v>2653.2731399999998</v>
      </c>
      <c r="C19">
        <f t="shared" si="0"/>
        <v>2513.2731399999998</v>
      </c>
      <c r="D19">
        <v>2623</v>
      </c>
      <c r="E19">
        <v>2577.71</v>
      </c>
      <c r="F19" s="3">
        <f t="shared" si="1"/>
        <v>2571.3277133333331</v>
      </c>
      <c r="G19" s="3">
        <f t="shared" si="2"/>
        <v>2555.3277133333331</v>
      </c>
    </row>
    <row r="20" spans="2:7" x14ac:dyDescent="0.25">
      <c r="B20">
        <v>2686.7028300000002</v>
      </c>
      <c r="C20">
        <f t="shared" si="0"/>
        <v>2546.7028300000002</v>
      </c>
      <c r="D20">
        <v>2610</v>
      </c>
      <c r="E20">
        <v>2570.85</v>
      </c>
      <c r="F20" s="3">
        <f t="shared" si="1"/>
        <v>2575.8509433333334</v>
      </c>
      <c r="G20" s="3">
        <f t="shared" si="2"/>
        <v>2559.8509433333334</v>
      </c>
    </row>
    <row r="21" spans="2:7" x14ac:dyDescent="0.25">
      <c r="B21" s="6">
        <v>2675.5793400000002</v>
      </c>
      <c r="C21">
        <f t="shared" si="0"/>
        <v>2535.5793400000002</v>
      </c>
      <c r="D21" s="6">
        <v>2597</v>
      </c>
      <c r="E21" s="6">
        <v>2564.19</v>
      </c>
      <c r="F21" s="3">
        <f t="shared" si="1"/>
        <v>2565.5897800000002</v>
      </c>
      <c r="G21" s="3">
        <f t="shared" si="2"/>
        <v>2549.5897800000002</v>
      </c>
    </row>
    <row r="22" spans="2:7" x14ac:dyDescent="0.25">
      <c r="B22">
        <v>2692.0425</v>
      </c>
      <c r="C22">
        <f t="shared" si="0"/>
        <v>2552.0425</v>
      </c>
      <c r="D22">
        <v>2584</v>
      </c>
      <c r="E22">
        <v>2557.0300000000002</v>
      </c>
      <c r="F22" s="3">
        <f t="shared" si="1"/>
        <v>2564.3575000000001</v>
      </c>
      <c r="G22" s="3">
        <f t="shared" si="2"/>
        <v>2548.3575000000001</v>
      </c>
    </row>
    <row r="23" spans="2:7" x14ac:dyDescent="0.25">
      <c r="B23">
        <v>2669.4796799999999</v>
      </c>
      <c r="C23">
        <f t="shared" si="0"/>
        <v>2529.4796799999999</v>
      </c>
      <c r="D23">
        <v>2581</v>
      </c>
      <c r="E23">
        <v>2559.4</v>
      </c>
      <c r="F23" s="3">
        <f t="shared" si="1"/>
        <v>2556.6265600000002</v>
      </c>
      <c r="G23" s="3">
        <f t="shared" si="2"/>
        <v>2540.6265600000002</v>
      </c>
    </row>
    <row r="24" spans="2:7" x14ac:dyDescent="0.25">
      <c r="B24">
        <v>2706.2651699999997</v>
      </c>
      <c r="C24">
        <f t="shared" si="0"/>
        <v>2566.2651699999997</v>
      </c>
      <c r="D24">
        <v>2606</v>
      </c>
      <c r="E24">
        <v>2590.42</v>
      </c>
      <c r="F24" s="3">
        <f t="shared" si="1"/>
        <v>2587.5617233333332</v>
      </c>
      <c r="G24" s="3">
        <f t="shared" si="2"/>
        <v>2571.5617233333332</v>
      </c>
    </row>
    <row r="25" spans="2:7" x14ac:dyDescent="0.25">
      <c r="B25">
        <v>2718.48423</v>
      </c>
      <c r="C25">
        <f t="shared" si="0"/>
        <v>2578.48423</v>
      </c>
      <c r="D25">
        <v>2630</v>
      </c>
      <c r="E25">
        <v>2620.69</v>
      </c>
      <c r="F25" s="3">
        <f t="shared" si="1"/>
        <v>2609.7247433333337</v>
      </c>
      <c r="G25" s="3">
        <f t="shared" si="2"/>
        <v>2593.7247433333337</v>
      </c>
    </row>
    <row r="26" spans="2:7" x14ac:dyDescent="0.25">
      <c r="B26">
        <v>2696.1878999999999</v>
      </c>
      <c r="C26">
        <f t="shared" si="0"/>
        <v>2556.1878999999999</v>
      </c>
      <c r="D26">
        <v>2589</v>
      </c>
      <c r="E26">
        <v>2584.2399999999998</v>
      </c>
      <c r="F26" s="3">
        <f t="shared" si="1"/>
        <v>2576.4759666666664</v>
      </c>
      <c r="G26" s="3">
        <f t="shared" si="2"/>
        <v>2560.4759666666664</v>
      </c>
    </row>
    <row r="27" spans="2:7" x14ac:dyDescent="0.25">
      <c r="B27">
        <v>2679.7938300000001</v>
      </c>
      <c r="C27">
        <f t="shared" si="0"/>
        <v>2539.7938300000001</v>
      </c>
      <c r="D27">
        <v>2574</v>
      </c>
      <c r="E27">
        <v>2576.33</v>
      </c>
      <c r="F27" s="3">
        <f t="shared" si="1"/>
        <v>2563.3746100000003</v>
      </c>
      <c r="G27" s="3">
        <f t="shared" si="2"/>
        <v>2547.3746100000003</v>
      </c>
    </row>
    <row r="28" spans="2:7" x14ac:dyDescent="0.25">
      <c r="B28">
        <v>2678.2244999999998</v>
      </c>
      <c r="C28">
        <f t="shared" si="0"/>
        <v>2538.2244999999998</v>
      </c>
      <c r="D28">
        <v>2561</v>
      </c>
      <c r="E28">
        <v>2570.71</v>
      </c>
      <c r="F28" s="3">
        <f t="shared" si="1"/>
        <v>2556.6448333333333</v>
      </c>
      <c r="G28" s="3">
        <f t="shared" si="2"/>
        <v>2540.6448333333333</v>
      </c>
    </row>
    <row r="29" spans="2:7" x14ac:dyDescent="0.25">
      <c r="B29">
        <v>2681.1953700000004</v>
      </c>
      <c r="C29">
        <f t="shared" si="0"/>
        <v>2541.1953700000004</v>
      </c>
      <c r="D29">
        <v>2578</v>
      </c>
      <c r="E29">
        <v>2596.0700000000002</v>
      </c>
      <c r="F29" s="3">
        <f t="shared" si="1"/>
        <v>2571.7551233333338</v>
      </c>
      <c r="G29" s="3">
        <f t="shared" si="2"/>
        <v>2555.7551233333338</v>
      </c>
    </row>
    <row r="30" spans="2:7" x14ac:dyDescent="0.25">
      <c r="B30">
        <v>2693.6513100000002</v>
      </c>
      <c r="C30">
        <f t="shared" si="0"/>
        <v>2553.6513100000002</v>
      </c>
      <c r="D30">
        <v>2665</v>
      </c>
      <c r="E30">
        <v>2692.38</v>
      </c>
      <c r="F30" s="3">
        <f t="shared" si="1"/>
        <v>2637.0104366666669</v>
      </c>
      <c r="G30" s="3">
        <f t="shared" si="2"/>
        <v>2621.0104366666669</v>
      </c>
    </row>
    <row r="31" spans="2:7" x14ac:dyDescent="0.25">
      <c r="B31">
        <v>2753.73</v>
      </c>
      <c r="C31">
        <f t="shared" si="0"/>
        <v>2613.73</v>
      </c>
      <c r="D31">
        <v>2577</v>
      </c>
      <c r="E31">
        <v>2606.73</v>
      </c>
      <c r="F31" s="3">
        <f t="shared" si="1"/>
        <v>2599.1533333333332</v>
      </c>
      <c r="G31" s="3">
        <f t="shared" si="2"/>
        <v>2583.1533333333332</v>
      </c>
    </row>
    <row r="32" spans="2:7" x14ac:dyDescent="0.25">
      <c r="B32">
        <v>2806.0410000000002</v>
      </c>
      <c r="C32">
        <f t="shared" si="0"/>
        <v>2666.0410000000002</v>
      </c>
      <c r="D32">
        <v>2693</v>
      </c>
      <c r="E32">
        <v>2730.22</v>
      </c>
      <c r="F32" s="3">
        <f t="shared" si="1"/>
        <v>2696.4203333333335</v>
      </c>
      <c r="G32" s="3">
        <f t="shared" si="2"/>
        <v>2680.4203333333335</v>
      </c>
    </row>
    <row r="33" spans="2:7" x14ac:dyDescent="0.25">
      <c r="B33">
        <v>2782.3530000000001</v>
      </c>
      <c r="C33">
        <f t="shared" si="0"/>
        <v>2642.3530000000001</v>
      </c>
      <c r="D33">
        <v>2698</v>
      </c>
      <c r="E33">
        <v>2739.17</v>
      </c>
      <c r="F33" s="3">
        <f t="shared" si="1"/>
        <v>2693.1743333333334</v>
      </c>
      <c r="G33" s="3">
        <f t="shared" si="2"/>
        <v>2677.1743333333334</v>
      </c>
    </row>
    <row r="34" spans="2:7" x14ac:dyDescent="0.25">
      <c r="B34" s="7">
        <v>2766.3043799999996</v>
      </c>
      <c r="C34">
        <f t="shared" ref="C34:C65" si="3">B34-140</f>
        <v>2626.3043799999996</v>
      </c>
      <c r="D34" s="7">
        <v>2667</v>
      </c>
      <c r="E34" s="7">
        <v>2712.34</v>
      </c>
      <c r="F34" s="3">
        <f t="shared" ref="F34:F65" si="4">AVERAGE(C34:E34)</f>
        <v>2668.5481266666666</v>
      </c>
      <c r="G34" s="3">
        <f t="shared" si="2"/>
        <v>2652.5481266666666</v>
      </c>
    </row>
    <row r="35" spans="2:7" x14ac:dyDescent="0.25">
      <c r="B35">
        <v>2769.6206999999999</v>
      </c>
      <c r="C35">
        <f t="shared" si="3"/>
        <v>2629.6206999999999</v>
      </c>
      <c r="D35">
        <v>2650</v>
      </c>
      <c r="E35">
        <v>2702.42</v>
      </c>
      <c r="F35" s="3">
        <f t="shared" si="4"/>
        <v>2660.680233333333</v>
      </c>
      <c r="G35" s="3">
        <f t="shared" ref="G35:G66" si="5">F35-16</f>
        <v>2644.680233333333</v>
      </c>
    </row>
    <row r="36" spans="2:7" x14ac:dyDescent="0.25">
      <c r="B36">
        <v>2768.15994</v>
      </c>
      <c r="C36">
        <f t="shared" si="3"/>
        <v>2628.15994</v>
      </c>
      <c r="D36">
        <v>2670</v>
      </c>
      <c r="E36">
        <v>2729.54</v>
      </c>
      <c r="F36" s="3">
        <f t="shared" si="4"/>
        <v>2675.8999799999997</v>
      </c>
      <c r="G36" s="3">
        <f t="shared" si="5"/>
        <v>2659.8999799999997</v>
      </c>
    </row>
    <row r="37" spans="2:7" x14ac:dyDescent="0.25">
      <c r="B37">
        <v>2756.97723</v>
      </c>
      <c r="C37">
        <f t="shared" si="3"/>
        <v>2616.97723</v>
      </c>
      <c r="D37">
        <v>2628</v>
      </c>
      <c r="E37">
        <v>2694.53</v>
      </c>
      <c r="F37" s="3">
        <f t="shared" si="4"/>
        <v>2646.5024100000005</v>
      </c>
      <c r="G37" s="3">
        <f t="shared" si="5"/>
        <v>2630.5024100000005</v>
      </c>
    </row>
    <row r="38" spans="2:7" x14ac:dyDescent="0.25">
      <c r="B38">
        <v>2731.9074299999997</v>
      </c>
      <c r="C38">
        <f t="shared" si="3"/>
        <v>2591.9074299999997</v>
      </c>
      <c r="D38">
        <v>2598</v>
      </c>
      <c r="E38">
        <v>2670.48</v>
      </c>
      <c r="F38" s="3">
        <f t="shared" si="4"/>
        <v>2620.1291433333331</v>
      </c>
      <c r="G38" s="3">
        <f t="shared" si="5"/>
        <v>2604.1291433333331</v>
      </c>
    </row>
    <row r="39" spans="2:7" x14ac:dyDescent="0.25">
      <c r="B39">
        <v>2704.0740300000002</v>
      </c>
      <c r="C39">
        <f t="shared" si="3"/>
        <v>2564.0740300000002</v>
      </c>
      <c r="D39">
        <v>2607</v>
      </c>
      <c r="E39">
        <v>2683.46</v>
      </c>
      <c r="F39" s="3">
        <f t="shared" si="4"/>
        <v>2618.1780100000001</v>
      </c>
      <c r="G39" s="3">
        <f t="shared" si="5"/>
        <v>2602.1780100000001</v>
      </c>
    </row>
    <row r="40" spans="2:7" x14ac:dyDescent="0.25">
      <c r="B40">
        <v>2647.4301</v>
      </c>
      <c r="C40">
        <f t="shared" si="3"/>
        <v>2507.4301</v>
      </c>
      <c r="D40">
        <v>2565</v>
      </c>
      <c r="E40">
        <v>2644.12</v>
      </c>
      <c r="F40" s="3">
        <f t="shared" si="4"/>
        <v>2572.1833666666666</v>
      </c>
      <c r="G40" s="3">
        <f t="shared" si="5"/>
        <v>2556.1833666666666</v>
      </c>
    </row>
    <row r="41" spans="2:7" x14ac:dyDescent="0.25">
      <c r="B41">
        <v>2615.9842800000001</v>
      </c>
      <c r="C41">
        <f t="shared" si="3"/>
        <v>2475.9842800000001</v>
      </c>
      <c r="D41">
        <v>2549</v>
      </c>
      <c r="E41">
        <v>2631.62</v>
      </c>
      <c r="F41" s="3">
        <f t="shared" si="4"/>
        <v>2552.201426666667</v>
      </c>
      <c r="G41" s="3">
        <f t="shared" si="5"/>
        <v>2536.201426666667</v>
      </c>
    </row>
    <row r="42" spans="2:7" x14ac:dyDescent="0.25">
      <c r="B42" s="6">
        <v>2586.4828500000003</v>
      </c>
      <c r="C42">
        <f t="shared" si="3"/>
        <v>2446.4828500000003</v>
      </c>
      <c r="D42" s="6">
        <v>2558</v>
      </c>
      <c r="E42" s="6">
        <v>2643.8</v>
      </c>
      <c r="F42" s="3">
        <f t="shared" si="4"/>
        <v>2549.4276166666668</v>
      </c>
      <c r="G42" s="3">
        <f t="shared" si="5"/>
        <v>2533.4276166666668</v>
      </c>
    </row>
    <row r="43" spans="2:7" x14ac:dyDescent="0.25">
      <c r="B43">
        <v>2558.41257</v>
      </c>
      <c r="C43">
        <f t="shared" si="3"/>
        <v>2418.41257</v>
      </c>
      <c r="D43">
        <v>2489</v>
      </c>
      <c r="E43">
        <v>2578.34</v>
      </c>
      <c r="F43" s="3">
        <f t="shared" si="4"/>
        <v>2495.250856666667</v>
      </c>
      <c r="G43" s="3">
        <f t="shared" si="5"/>
        <v>2479.250856666667</v>
      </c>
    </row>
    <row r="44" spans="2:7" x14ac:dyDescent="0.25">
      <c r="B44">
        <v>2524.65717</v>
      </c>
      <c r="C44">
        <f t="shared" si="3"/>
        <v>2384.65717</v>
      </c>
      <c r="D44">
        <v>2465</v>
      </c>
      <c r="E44">
        <v>2558.0700000000002</v>
      </c>
      <c r="F44" s="3">
        <f t="shared" si="4"/>
        <v>2469.2423899999999</v>
      </c>
      <c r="G44" s="3">
        <f t="shared" si="5"/>
        <v>2453.2423899999999</v>
      </c>
    </row>
    <row r="45" spans="2:7" x14ac:dyDescent="0.25">
      <c r="B45">
        <v>2524.8940499999999</v>
      </c>
      <c r="C45">
        <f t="shared" si="3"/>
        <v>2384.8940499999999</v>
      </c>
      <c r="D45">
        <v>2486</v>
      </c>
      <c r="E45">
        <v>2584.69</v>
      </c>
      <c r="F45" s="3">
        <f t="shared" si="4"/>
        <v>2485.1946833333332</v>
      </c>
      <c r="G45" s="3">
        <f t="shared" si="5"/>
        <v>2469.1946833333332</v>
      </c>
    </row>
    <row r="46" spans="2:7" x14ac:dyDescent="0.25">
      <c r="B46">
        <v>2542.6008300000003</v>
      </c>
      <c r="C46">
        <f t="shared" si="3"/>
        <v>2402.6008300000003</v>
      </c>
      <c r="D46">
        <v>2451</v>
      </c>
      <c r="E46">
        <v>2553.04</v>
      </c>
      <c r="F46" s="3">
        <f t="shared" si="4"/>
        <v>2468.8802766666668</v>
      </c>
      <c r="G46" s="3">
        <f t="shared" si="5"/>
        <v>2452.8802766666668</v>
      </c>
    </row>
    <row r="47" spans="2:7" x14ac:dyDescent="0.25">
      <c r="B47">
        <v>2545.4236499999997</v>
      </c>
      <c r="C47">
        <f t="shared" si="3"/>
        <v>2405.4236499999997</v>
      </c>
      <c r="D47">
        <v>2424</v>
      </c>
      <c r="E47">
        <v>2524</v>
      </c>
      <c r="F47" s="3">
        <f t="shared" si="4"/>
        <v>2451.1412166666664</v>
      </c>
      <c r="G47" s="3">
        <f t="shared" si="5"/>
        <v>2435.1412166666664</v>
      </c>
    </row>
    <row r="48" spans="2:7" x14ac:dyDescent="0.25">
      <c r="B48">
        <v>2524.0847100000001</v>
      </c>
      <c r="C48">
        <f t="shared" si="3"/>
        <v>2384.0847100000001</v>
      </c>
      <c r="D48">
        <v>2425</v>
      </c>
      <c r="E48">
        <v>2523</v>
      </c>
      <c r="F48" s="3">
        <f t="shared" si="4"/>
        <v>2444.0282366666665</v>
      </c>
      <c r="G48" s="3">
        <f t="shared" si="5"/>
        <v>2428.0282366666665</v>
      </c>
    </row>
    <row r="49" spans="2:7" x14ac:dyDescent="0.25">
      <c r="B49">
        <v>2521.2520199999999</v>
      </c>
      <c r="C49">
        <f t="shared" si="3"/>
        <v>2381.2520199999999</v>
      </c>
      <c r="D49">
        <v>2413</v>
      </c>
      <c r="E49">
        <v>2508</v>
      </c>
      <c r="F49" s="3">
        <f t="shared" si="4"/>
        <v>2434.0840066666665</v>
      </c>
      <c r="G49" s="3">
        <f t="shared" si="5"/>
        <v>2418.0840066666665</v>
      </c>
    </row>
    <row r="50" spans="2:7" x14ac:dyDescent="0.25">
      <c r="B50">
        <v>2479.11699</v>
      </c>
      <c r="C50">
        <f t="shared" si="3"/>
        <v>2339.11699</v>
      </c>
      <c r="D50">
        <v>2408</v>
      </c>
      <c r="E50">
        <v>2501</v>
      </c>
      <c r="F50" s="3">
        <f t="shared" si="4"/>
        <v>2416.0389966666667</v>
      </c>
      <c r="G50" s="3">
        <f t="shared" si="5"/>
        <v>2400.0389966666667</v>
      </c>
    </row>
    <row r="51" spans="2:7" x14ac:dyDescent="0.25">
      <c r="B51">
        <v>2462.4663</v>
      </c>
      <c r="C51">
        <f t="shared" si="3"/>
        <v>2322.4663</v>
      </c>
      <c r="D51">
        <v>2397</v>
      </c>
      <c r="E51">
        <v>2486.86</v>
      </c>
      <c r="F51" s="3">
        <f t="shared" si="4"/>
        <v>2402.1087666666667</v>
      </c>
      <c r="G51" s="3">
        <f t="shared" si="5"/>
        <v>2386.1087666666667</v>
      </c>
    </row>
    <row r="52" spans="2:7" x14ac:dyDescent="0.25">
      <c r="B52">
        <v>2441.78865</v>
      </c>
      <c r="C52">
        <f t="shared" si="3"/>
        <v>2301.78865</v>
      </c>
      <c r="D52">
        <v>2388</v>
      </c>
      <c r="E52">
        <v>2475.2600000000002</v>
      </c>
      <c r="F52" s="3">
        <f t="shared" si="4"/>
        <v>2388.3495500000004</v>
      </c>
      <c r="G52" s="3">
        <f t="shared" si="5"/>
        <v>2372.3495500000004</v>
      </c>
    </row>
    <row r="53" spans="2:7" x14ac:dyDescent="0.25">
      <c r="B53">
        <v>2441.42346</v>
      </c>
      <c r="C53">
        <f t="shared" si="3"/>
        <v>2301.42346</v>
      </c>
      <c r="D53">
        <v>2378</v>
      </c>
      <c r="E53">
        <v>2462.12</v>
      </c>
      <c r="F53" s="3">
        <f t="shared" si="4"/>
        <v>2380.5144866666665</v>
      </c>
      <c r="G53" s="3">
        <f t="shared" si="5"/>
        <v>2364.5144866666665</v>
      </c>
    </row>
    <row r="54" spans="2:7" x14ac:dyDescent="0.25">
      <c r="B54">
        <v>2495.4222300000001</v>
      </c>
      <c r="C54">
        <f t="shared" si="3"/>
        <v>2355.4222300000001</v>
      </c>
      <c r="D54">
        <v>2422</v>
      </c>
      <c r="E54">
        <v>2504.64</v>
      </c>
      <c r="F54" s="3">
        <f t="shared" si="4"/>
        <v>2427.3540766666665</v>
      </c>
      <c r="G54" s="3">
        <f t="shared" si="5"/>
        <v>2411.3540766666665</v>
      </c>
    </row>
    <row r="55" spans="2:7" x14ac:dyDescent="0.25">
      <c r="B55">
        <v>2518.39959</v>
      </c>
      <c r="C55">
        <f t="shared" si="3"/>
        <v>2378.39959</v>
      </c>
      <c r="D55">
        <v>2442</v>
      </c>
      <c r="E55">
        <v>2520.9</v>
      </c>
      <c r="F55" s="3">
        <f t="shared" si="4"/>
        <v>2447.0998633333334</v>
      </c>
      <c r="G55" s="3">
        <f t="shared" si="5"/>
        <v>2431.0998633333334</v>
      </c>
    </row>
    <row r="56" spans="2:7" x14ac:dyDescent="0.25">
      <c r="B56">
        <v>2568.7662</v>
      </c>
      <c r="C56">
        <f t="shared" si="3"/>
        <v>2428.7662</v>
      </c>
      <c r="D56">
        <v>2396</v>
      </c>
      <c r="E56">
        <v>2469.0300000000002</v>
      </c>
      <c r="F56" s="3">
        <f t="shared" si="4"/>
        <v>2431.2654000000002</v>
      </c>
      <c r="G56" s="3">
        <f t="shared" si="5"/>
        <v>2415.2654000000002</v>
      </c>
    </row>
    <row r="57" spans="2:7" x14ac:dyDescent="0.25">
      <c r="B57">
        <v>2562.1335600000002</v>
      </c>
      <c r="C57">
        <f t="shared" si="3"/>
        <v>2422.1335600000002</v>
      </c>
      <c r="D57">
        <v>2422</v>
      </c>
      <c r="E57">
        <v>2491.58</v>
      </c>
      <c r="F57" s="3">
        <f t="shared" si="4"/>
        <v>2445.2378533333335</v>
      </c>
      <c r="G57" s="3">
        <f t="shared" si="5"/>
        <v>2429.2378533333335</v>
      </c>
    </row>
    <row r="58" spans="2:7" x14ac:dyDescent="0.25">
      <c r="B58">
        <v>2565.1044299999999</v>
      </c>
      <c r="C58">
        <f t="shared" si="3"/>
        <v>2425.1044299999999</v>
      </c>
      <c r="D58">
        <v>2423</v>
      </c>
      <c r="E58">
        <v>2487.67</v>
      </c>
      <c r="F58" s="3">
        <f t="shared" si="4"/>
        <v>2445.258143333333</v>
      </c>
      <c r="G58" s="3">
        <f t="shared" si="5"/>
        <v>2429.258143333333</v>
      </c>
    </row>
    <row r="59" spans="2:7" x14ac:dyDescent="0.25">
      <c r="B59">
        <v>2568.3220500000002</v>
      </c>
      <c r="C59">
        <f t="shared" si="3"/>
        <v>2428.3220500000002</v>
      </c>
      <c r="D59">
        <v>2413</v>
      </c>
      <c r="E59">
        <v>2479.92</v>
      </c>
      <c r="F59" s="3">
        <f t="shared" si="4"/>
        <v>2440.4140166666671</v>
      </c>
      <c r="G59" s="3">
        <f t="shared" si="5"/>
        <v>2424.4140166666671</v>
      </c>
    </row>
    <row r="60" spans="2:7" x14ac:dyDescent="0.25">
      <c r="B60">
        <v>2560.8011100000003</v>
      </c>
      <c r="C60">
        <f t="shared" si="3"/>
        <v>2420.8011100000003</v>
      </c>
      <c r="D60">
        <v>2388</v>
      </c>
      <c r="E60">
        <v>2454.91</v>
      </c>
      <c r="F60" s="3">
        <f t="shared" si="4"/>
        <v>2421.2370366666669</v>
      </c>
      <c r="G60" s="3">
        <f t="shared" si="5"/>
        <v>2405.2370366666669</v>
      </c>
    </row>
    <row r="61" spans="2:7" x14ac:dyDescent="0.25">
      <c r="B61">
        <v>2563.1797799999999</v>
      </c>
      <c r="C61">
        <f t="shared" si="3"/>
        <v>2423.1797799999999</v>
      </c>
      <c r="D61">
        <v>2364</v>
      </c>
      <c r="E61">
        <v>2431.37</v>
      </c>
      <c r="F61" s="3">
        <f t="shared" si="4"/>
        <v>2406.1832600000002</v>
      </c>
      <c r="G61" s="3">
        <f t="shared" si="5"/>
        <v>2390.1832600000002</v>
      </c>
    </row>
    <row r="62" spans="2:7" x14ac:dyDescent="0.25">
      <c r="B62">
        <v>2594.8526100000004</v>
      </c>
      <c r="C62">
        <f t="shared" si="3"/>
        <v>2454.8526100000004</v>
      </c>
      <c r="D62">
        <v>2308</v>
      </c>
      <c r="E62">
        <v>2373.9699999999998</v>
      </c>
      <c r="F62" s="3">
        <f t="shared" si="4"/>
        <v>2378.9408699999999</v>
      </c>
      <c r="G62" s="3">
        <f t="shared" si="5"/>
        <v>2362.9408699999999</v>
      </c>
    </row>
    <row r="63" spans="2:7" x14ac:dyDescent="0.25">
      <c r="B63">
        <v>2568.174</v>
      </c>
      <c r="C63">
        <f t="shared" si="3"/>
        <v>2428.174</v>
      </c>
      <c r="D63">
        <v>2291</v>
      </c>
      <c r="E63">
        <v>2360.3200000000002</v>
      </c>
      <c r="F63" s="3">
        <f t="shared" si="4"/>
        <v>2359.8313333333335</v>
      </c>
      <c r="G63" s="3">
        <f t="shared" si="5"/>
        <v>2343.8313333333335</v>
      </c>
    </row>
    <row r="64" spans="2:7" x14ac:dyDescent="0.25">
      <c r="B64">
        <v>2572.1219999999998</v>
      </c>
      <c r="C64">
        <f t="shared" si="3"/>
        <v>2432.1219999999998</v>
      </c>
      <c r="D64">
        <v>2244</v>
      </c>
      <c r="E64">
        <v>2314</v>
      </c>
      <c r="F64" s="3">
        <f t="shared" si="4"/>
        <v>2330.0406666666663</v>
      </c>
      <c r="G64" s="3">
        <f t="shared" si="5"/>
        <v>2314.0406666666663</v>
      </c>
    </row>
    <row r="65" spans="2:7" x14ac:dyDescent="0.25">
      <c r="B65">
        <v>2577.0569999999998</v>
      </c>
      <c r="C65">
        <f t="shared" si="3"/>
        <v>2437.0569999999998</v>
      </c>
      <c r="D65">
        <v>2177</v>
      </c>
      <c r="E65">
        <v>2247</v>
      </c>
      <c r="F65" s="3">
        <f t="shared" si="4"/>
        <v>2287.0189999999998</v>
      </c>
      <c r="G65" s="3">
        <f t="shared" si="5"/>
        <v>2271.0189999999998</v>
      </c>
    </row>
    <row r="66" spans="2:7" x14ac:dyDescent="0.25">
      <c r="B66">
        <v>2543.4989999999998</v>
      </c>
      <c r="C66">
        <f t="shared" ref="C66:C97" si="6">B66-140</f>
        <v>2403.4989999999998</v>
      </c>
      <c r="D66">
        <v>2173</v>
      </c>
      <c r="E66">
        <v>2246.17</v>
      </c>
      <c r="F66" s="3">
        <f t="shared" ref="F66:F97" si="7">AVERAGE(C66:E66)</f>
        <v>2274.223</v>
      </c>
      <c r="G66" s="3">
        <f t="shared" si="5"/>
        <v>2258.223</v>
      </c>
    </row>
    <row r="67" spans="2:7" x14ac:dyDescent="0.25">
      <c r="B67">
        <v>2547.4470000000001</v>
      </c>
      <c r="C67">
        <f t="shared" si="6"/>
        <v>2407.4470000000001</v>
      </c>
      <c r="D67">
        <v>2149</v>
      </c>
      <c r="E67">
        <v>2221.38</v>
      </c>
      <c r="F67" s="3">
        <f t="shared" si="7"/>
        <v>2259.2756666666669</v>
      </c>
      <c r="G67" s="3">
        <f t="shared" ref="G67:G95" si="8">F67-16</f>
        <v>2243.2756666666669</v>
      </c>
    </row>
    <row r="68" spans="2:7" x14ac:dyDescent="0.25">
      <c r="B68">
        <v>2547.4470000000001</v>
      </c>
      <c r="C68">
        <f t="shared" si="6"/>
        <v>2407.4470000000001</v>
      </c>
      <c r="D68">
        <v>2142</v>
      </c>
      <c r="E68">
        <v>2215.5700000000002</v>
      </c>
      <c r="F68" s="3">
        <f t="shared" si="7"/>
        <v>2255.0056666666665</v>
      </c>
      <c r="G68" s="3">
        <f t="shared" si="8"/>
        <v>2239.0056666666665</v>
      </c>
    </row>
    <row r="69" spans="2:7" x14ac:dyDescent="0.25">
      <c r="B69">
        <v>2525.7330000000002</v>
      </c>
      <c r="C69">
        <f t="shared" si="6"/>
        <v>2385.7330000000002</v>
      </c>
      <c r="D69">
        <v>2145</v>
      </c>
      <c r="E69">
        <v>2219.27</v>
      </c>
      <c r="F69" s="3">
        <f t="shared" si="7"/>
        <v>2250.0010000000002</v>
      </c>
      <c r="G69" s="3">
        <f t="shared" si="8"/>
        <v>2234.0010000000002</v>
      </c>
    </row>
    <row r="70" spans="2:7" x14ac:dyDescent="0.25">
      <c r="B70">
        <v>2531.6549999999997</v>
      </c>
      <c r="C70">
        <f t="shared" si="6"/>
        <v>2391.6549999999997</v>
      </c>
      <c r="D70">
        <v>2149</v>
      </c>
      <c r="E70">
        <v>2223.87</v>
      </c>
      <c r="F70" s="3">
        <f t="shared" si="7"/>
        <v>2254.8416666666667</v>
      </c>
      <c r="G70" s="3">
        <f t="shared" si="8"/>
        <v>2238.8416666666667</v>
      </c>
    </row>
    <row r="71" spans="2:7" x14ac:dyDescent="0.25">
      <c r="B71">
        <v>2512.4973300000001</v>
      </c>
      <c r="C71">
        <f t="shared" si="6"/>
        <v>2372.4973300000001</v>
      </c>
      <c r="D71">
        <v>2159</v>
      </c>
      <c r="E71">
        <v>2234.87</v>
      </c>
      <c r="F71" s="3">
        <f t="shared" si="7"/>
        <v>2255.4557766666667</v>
      </c>
      <c r="G71" s="3">
        <f t="shared" si="8"/>
        <v>2239.4557766666667</v>
      </c>
    </row>
    <row r="72" spans="2:7" x14ac:dyDescent="0.25">
      <c r="B72">
        <v>2486.7662399999999</v>
      </c>
      <c r="C72">
        <f t="shared" si="6"/>
        <v>2346.7662399999999</v>
      </c>
      <c r="D72">
        <v>2159</v>
      </c>
      <c r="E72">
        <v>2234.87</v>
      </c>
      <c r="F72" s="3">
        <f t="shared" si="7"/>
        <v>2246.8787466666668</v>
      </c>
      <c r="G72" s="3">
        <f t="shared" si="8"/>
        <v>2230.8787466666668</v>
      </c>
    </row>
    <row r="73" spans="2:7" x14ac:dyDescent="0.25">
      <c r="B73" s="7">
        <v>2433.0240900000003</v>
      </c>
      <c r="C73">
        <f t="shared" si="6"/>
        <v>2293.0240900000003</v>
      </c>
      <c r="D73" s="7">
        <v>2151</v>
      </c>
      <c r="E73" s="7">
        <v>2226.4899999999998</v>
      </c>
      <c r="F73" s="3">
        <f t="shared" si="7"/>
        <v>2223.5046966666669</v>
      </c>
      <c r="G73" s="3">
        <f t="shared" si="8"/>
        <v>2207.5046966666669</v>
      </c>
    </row>
    <row r="74" spans="2:7" x14ac:dyDescent="0.25">
      <c r="B74" s="6">
        <v>2373.2118899999996</v>
      </c>
      <c r="C74">
        <f t="shared" si="6"/>
        <v>2233.2118899999996</v>
      </c>
      <c r="D74" s="6">
        <v>2159</v>
      </c>
      <c r="E74" s="6">
        <v>2235.48</v>
      </c>
      <c r="F74" s="3">
        <f t="shared" si="7"/>
        <v>2209.23063</v>
      </c>
      <c r="G74" s="3">
        <f t="shared" si="8"/>
        <v>2193.23063</v>
      </c>
    </row>
    <row r="75" spans="2:7" x14ac:dyDescent="0.25">
      <c r="B75">
        <v>2315</v>
      </c>
      <c r="C75">
        <f t="shared" si="6"/>
        <v>2175</v>
      </c>
      <c r="D75">
        <v>2098</v>
      </c>
      <c r="E75">
        <v>2168.73</v>
      </c>
      <c r="F75" s="3">
        <f t="shared" si="7"/>
        <v>2147.2433333333333</v>
      </c>
      <c r="G75" s="3">
        <f t="shared" si="8"/>
        <v>2131.2433333333333</v>
      </c>
    </row>
    <row r="76" spans="2:7" x14ac:dyDescent="0.25">
      <c r="B76">
        <v>2345</v>
      </c>
      <c r="C76">
        <f t="shared" si="6"/>
        <v>2205</v>
      </c>
      <c r="D76">
        <v>2111</v>
      </c>
      <c r="E76">
        <v>2181.4</v>
      </c>
      <c r="F76" s="3">
        <f t="shared" si="7"/>
        <v>2165.7999999999997</v>
      </c>
      <c r="G76" s="3">
        <f t="shared" si="8"/>
        <v>2149.7999999999997</v>
      </c>
    </row>
    <row r="77" spans="2:7" x14ac:dyDescent="0.25">
      <c r="B77">
        <v>2350</v>
      </c>
      <c r="C77">
        <f t="shared" si="6"/>
        <v>2210</v>
      </c>
      <c r="D77">
        <v>2125</v>
      </c>
      <c r="E77">
        <v>2193.89</v>
      </c>
      <c r="F77" s="3">
        <f t="shared" si="7"/>
        <v>2176.2966666666666</v>
      </c>
      <c r="G77" s="3">
        <f t="shared" si="8"/>
        <v>2160.2966666666666</v>
      </c>
    </row>
    <row r="78" spans="2:7" x14ac:dyDescent="0.25">
      <c r="B78">
        <v>2364.27954</v>
      </c>
      <c r="C78">
        <f t="shared" si="6"/>
        <v>2224.27954</v>
      </c>
      <c r="D78">
        <v>2185</v>
      </c>
      <c r="E78">
        <v>2258.42</v>
      </c>
      <c r="F78" s="3">
        <f t="shared" si="7"/>
        <v>2222.5665133333332</v>
      </c>
      <c r="G78" s="3">
        <f t="shared" si="8"/>
        <v>2206.5665133333332</v>
      </c>
    </row>
    <row r="79" spans="2:7" x14ac:dyDescent="0.25">
      <c r="B79">
        <v>2467.9540200000001</v>
      </c>
      <c r="C79">
        <f t="shared" si="6"/>
        <v>2327.9540200000001</v>
      </c>
      <c r="D79">
        <v>2243</v>
      </c>
      <c r="E79">
        <v>2319.34</v>
      </c>
      <c r="F79" s="3">
        <f t="shared" si="7"/>
        <v>2296.7646733333336</v>
      </c>
      <c r="G79" s="3">
        <f t="shared" si="8"/>
        <v>2280.7646733333336</v>
      </c>
    </row>
    <row r="80" spans="2:7" x14ac:dyDescent="0.25">
      <c r="B80">
        <v>2548.8386699999996</v>
      </c>
      <c r="C80">
        <f t="shared" si="6"/>
        <v>2408.8386699999996</v>
      </c>
      <c r="D80">
        <v>2362</v>
      </c>
      <c r="E80">
        <v>2445.42</v>
      </c>
      <c r="F80" s="3">
        <f t="shared" si="7"/>
        <v>2405.4195566666663</v>
      </c>
      <c r="G80" s="3">
        <f t="shared" si="8"/>
        <v>2389.4195566666663</v>
      </c>
    </row>
    <row r="81" spans="2:7" x14ac:dyDescent="0.25">
      <c r="B81">
        <v>2692.6248300000002</v>
      </c>
      <c r="C81">
        <f t="shared" si="6"/>
        <v>2552.6248300000002</v>
      </c>
      <c r="D81">
        <v>2488</v>
      </c>
      <c r="E81">
        <v>2579.35</v>
      </c>
      <c r="F81" s="3">
        <f t="shared" si="7"/>
        <v>2539.9916100000005</v>
      </c>
      <c r="G81" s="3">
        <f t="shared" si="8"/>
        <v>2523.9916100000005</v>
      </c>
    </row>
    <row r="82" spans="2:7" x14ac:dyDescent="0.25">
      <c r="B82">
        <v>2746.3373700000002</v>
      </c>
      <c r="C82">
        <f t="shared" si="6"/>
        <v>2606.3373700000002</v>
      </c>
      <c r="D82">
        <v>2559</v>
      </c>
      <c r="E82">
        <v>2654.4</v>
      </c>
      <c r="F82" s="3">
        <f t="shared" si="7"/>
        <v>2606.5791233333334</v>
      </c>
      <c r="G82" s="3">
        <f t="shared" si="8"/>
        <v>2590.5791233333334</v>
      </c>
    </row>
    <row r="83" spans="2:7" x14ac:dyDescent="0.25">
      <c r="B83">
        <v>2825.3368500000001</v>
      </c>
      <c r="C83">
        <f t="shared" si="6"/>
        <v>2685.3368500000001</v>
      </c>
      <c r="D83">
        <v>2598</v>
      </c>
      <c r="E83">
        <v>2693.11</v>
      </c>
      <c r="F83" s="3">
        <f t="shared" si="7"/>
        <v>2658.8156166666668</v>
      </c>
      <c r="G83" s="3">
        <f t="shared" si="8"/>
        <v>2642.8156166666668</v>
      </c>
    </row>
    <row r="84" spans="2:7" x14ac:dyDescent="0.25">
      <c r="B84">
        <v>2793.6640200000002</v>
      </c>
      <c r="C84">
        <f t="shared" si="6"/>
        <v>2653.6640200000002</v>
      </c>
      <c r="D84">
        <v>2603</v>
      </c>
      <c r="E84">
        <v>2695.59</v>
      </c>
      <c r="F84" s="3">
        <f t="shared" si="7"/>
        <v>2650.7513400000003</v>
      </c>
      <c r="G84" s="3">
        <f t="shared" si="8"/>
        <v>2634.7513400000003</v>
      </c>
    </row>
    <row r="85" spans="2:7" x14ac:dyDescent="0.25">
      <c r="B85">
        <v>2808.3407099999999</v>
      </c>
      <c r="C85">
        <f t="shared" si="6"/>
        <v>2668.3407099999999</v>
      </c>
      <c r="D85">
        <v>2596</v>
      </c>
      <c r="E85">
        <v>2685.82</v>
      </c>
      <c r="F85" s="3">
        <f t="shared" si="7"/>
        <v>2650.05357</v>
      </c>
      <c r="G85" s="3">
        <f t="shared" si="8"/>
        <v>2634.05357</v>
      </c>
    </row>
    <row r="86" spans="2:7" x14ac:dyDescent="0.25">
      <c r="B86">
        <v>2810.0087399999998</v>
      </c>
      <c r="C86">
        <f t="shared" si="6"/>
        <v>2670.0087399999998</v>
      </c>
      <c r="D86">
        <v>2600</v>
      </c>
      <c r="E86">
        <v>2686.42</v>
      </c>
      <c r="F86" s="3">
        <f t="shared" si="7"/>
        <v>2652.1429133333331</v>
      </c>
      <c r="G86" s="3">
        <f t="shared" si="8"/>
        <v>2636.1429133333331</v>
      </c>
    </row>
    <row r="87" spans="2:7" x14ac:dyDescent="0.25">
      <c r="B87">
        <v>2779.8558899999998</v>
      </c>
      <c r="C87">
        <f t="shared" si="6"/>
        <v>2639.8558899999998</v>
      </c>
      <c r="D87">
        <v>2606</v>
      </c>
      <c r="E87">
        <v>2689.76</v>
      </c>
      <c r="F87" s="3">
        <f t="shared" si="7"/>
        <v>2645.2052966666665</v>
      </c>
      <c r="G87" s="3">
        <f t="shared" si="8"/>
        <v>2629.2052966666665</v>
      </c>
    </row>
    <row r="88" spans="2:7" x14ac:dyDescent="0.25">
      <c r="B88">
        <v>2639.7808500000001</v>
      </c>
      <c r="C88">
        <f t="shared" si="6"/>
        <v>2499.7808500000001</v>
      </c>
      <c r="D88">
        <v>2540</v>
      </c>
      <c r="E88">
        <v>2615.69</v>
      </c>
      <c r="F88" s="3">
        <f t="shared" si="7"/>
        <v>2551.8236166666666</v>
      </c>
      <c r="G88" s="3">
        <f t="shared" si="8"/>
        <v>2535.8236166666666</v>
      </c>
    </row>
    <row r="89" spans="2:7" x14ac:dyDescent="0.25">
      <c r="B89" s="6">
        <v>2773.8944099999999</v>
      </c>
      <c r="C89">
        <f t="shared" si="6"/>
        <v>2633.8944099999999</v>
      </c>
      <c r="D89" s="6">
        <v>2522</v>
      </c>
      <c r="E89" s="6">
        <v>2592.96</v>
      </c>
      <c r="F89" s="3">
        <f t="shared" si="7"/>
        <v>2582.95147</v>
      </c>
      <c r="G89" s="3">
        <f t="shared" si="8"/>
        <v>2566.95147</v>
      </c>
    </row>
    <row r="90" spans="2:7" x14ac:dyDescent="0.25">
      <c r="B90">
        <v>2760.6390000000001</v>
      </c>
      <c r="C90">
        <f t="shared" si="6"/>
        <v>2620.6390000000001</v>
      </c>
      <c r="D90">
        <v>2523</v>
      </c>
      <c r="E90">
        <v>2589.94</v>
      </c>
      <c r="F90" s="3">
        <f t="shared" si="7"/>
        <v>2577.8596666666667</v>
      </c>
      <c r="G90" s="3">
        <f t="shared" si="8"/>
        <v>2561.8596666666667</v>
      </c>
    </row>
    <row r="91" spans="2:7" x14ac:dyDescent="0.25">
      <c r="B91">
        <v>2822.23767</v>
      </c>
      <c r="C91">
        <f t="shared" si="6"/>
        <v>2682.23767</v>
      </c>
      <c r="D91">
        <v>2579</v>
      </c>
      <c r="E91">
        <v>2643.95</v>
      </c>
      <c r="F91" s="3">
        <f t="shared" si="7"/>
        <v>2635.0625566666668</v>
      </c>
      <c r="G91" s="3">
        <f t="shared" si="8"/>
        <v>2619.0625566666668</v>
      </c>
    </row>
    <row r="92" spans="2:7" x14ac:dyDescent="0.25">
      <c r="B92">
        <v>2873.1964800000001</v>
      </c>
      <c r="C92">
        <f t="shared" si="6"/>
        <v>2733.1964800000001</v>
      </c>
      <c r="D92">
        <v>2628</v>
      </c>
      <c r="E92">
        <v>2690.04</v>
      </c>
      <c r="F92" s="3">
        <f t="shared" si="7"/>
        <v>2683.7454933333333</v>
      </c>
      <c r="G92" s="3">
        <f t="shared" si="8"/>
        <v>2667.7454933333333</v>
      </c>
    </row>
    <row r="93" spans="2:7" x14ac:dyDescent="0.25">
      <c r="B93">
        <v>2907.85005</v>
      </c>
      <c r="C93">
        <f t="shared" si="6"/>
        <v>2767.85005</v>
      </c>
      <c r="D93">
        <v>2681</v>
      </c>
      <c r="E93">
        <v>2740.03</v>
      </c>
      <c r="F93" s="3">
        <f t="shared" si="7"/>
        <v>2729.6266833333334</v>
      </c>
      <c r="G93" s="3">
        <f t="shared" si="8"/>
        <v>2713.6266833333334</v>
      </c>
    </row>
    <row r="94" spans="2:7" x14ac:dyDescent="0.25">
      <c r="B94">
        <v>2933.79828</v>
      </c>
      <c r="C94">
        <f t="shared" si="6"/>
        <v>2793.79828</v>
      </c>
      <c r="D94">
        <v>2728</v>
      </c>
      <c r="E94">
        <v>2783.48</v>
      </c>
      <c r="F94" s="3">
        <f t="shared" si="7"/>
        <v>2768.4260933333335</v>
      </c>
      <c r="G94" s="3">
        <f t="shared" si="8"/>
        <v>2752.4260933333335</v>
      </c>
    </row>
    <row r="95" spans="2:7" x14ac:dyDescent="0.25">
      <c r="B95">
        <v>2944.3098300000001</v>
      </c>
      <c r="C95">
        <f t="shared" si="6"/>
        <v>2804.3098300000001</v>
      </c>
      <c r="D95">
        <v>2713</v>
      </c>
      <c r="E95">
        <v>2762.56</v>
      </c>
      <c r="F95" s="3">
        <f t="shared" si="7"/>
        <v>2759.9566099999997</v>
      </c>
      <c r="G95" s="3">
        <f t="shared" si="8"/>
        <v>2743.9566099999997</v>
      </c>
    </row>
    <row r="96" spans="2:7" x14ac:dyDescent="0.25">
      <c r="B96">
        <v>2910.8603999999996</v>
      </c>
      <c r="C96">
        <f t="shared" si="6"/>
        <v>2770.8603999999996</v>
      </c>
      <c r="D96">
        <v>2685</v>
      </c>
      <c r="E96">
        <v>2726.73</v>
      </c>
      <c r="F96" s="3">
        <f t="shared" si="7"/>
        <v>2727.5301333333332</v>
      </c>
      <c r="G96" s="3">
        <v>2745</v>
      </c>
    </row>
    <row r="97" spans="2:7" x14ac:dyDescent="0.25">
      <c r="B97">
        <v>2888.9490000000001</v>
      </c>
      <c r="C97">
        <f t="shared" si="6"/>
        <v>2748.9490000000001</v>
      </c>
      <c r="D97">
        <v>2605</v>
      </c>
      <c r="E97">
        <v>2634.61</v>
      </c>
      <c r="F97" s="3">
        <f t="shared" si="7"/>
        <v>2662.8530000000005</v>
      </c>
      <c r="G97" s="3">
        <v>2750</v>
      </c>
    </row>
    <row r="98" spans="2:7" x14ac:dyDescent="0.25">
      <c r="B98" s="3">
        <f t="shared" ref="B98:G98" si="9">AVERAGE(B2:B97)*0.24</f>
        <v>637.6845386</v>
      </c>
      <c r="C98" s="3">
        <f t="shared" si="9"/>
        <v>604.08453859999997</v>
      </c>
      <c r="D98" s="3">
        <f t="shared" si="9"/>
        <v>603.33999999999992</v>
      </c>
      <c r="E98" s="3">
        <f t="shared" si="9"/>
        <v>611.76870000000019</v>
      </c>
      <c r="F98" s="3">
        <f t="shared" si="9"/>
        <v>606.39774619999957</v>
      </c>
      <c r="G98" s="3">
        <f t="shared" si="9"/>
        <v>602.77194759166639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selection activeCell="H9" sqref="H9"/>
    </sheetView>
  </sheetViews>
  <sheetFormatPr defaultRowHeight="15" x14ac:dyDescent="0.25"/>
  <sheetData>
    <row r="1" spans="1:8" x14ac:dyDescent="0.25">
      <c r="H1" t="s">
        <v>15</v>
      </c>
    </row>
    <row r="2" spans="1:8" x14ac:dyDescent="0.25">
      <c r="A2" s="3">
        <v>2193.08</v>
      </c>
      <c r="B2" s="17">
        <v>2193.08</v>
      </c>
      <c r="C2">
        <v>2351</v>
      </c>
      <c r="D2" s="3">
        <v>2699.32</v>
      </c>
      <c r="E2" s="3">
        <f t="shared" ref="E2:E33" si="0">D2-240</f>
        <v>2459.3200000000002</v>
      </c>
      <c r="F2">
        <v>2351</v>
      </c>
      <c r="G2" s="3">
        <f t="shared" ref="G2:G33" si="1">AVERAGE(E2:F2)</f>
        <v>2405.16</v>
      </c>
      <c r="H2" s="3">
        <f t="shared" ref="H2:H33" si="2">G2-4</f>
        <v>2401.16</v>
      </c>
    </row>
    <row r="3" spans="1:8" x14ac:dyDescent="0.25">
      <c r="A3" s="3">
        <v>2181.7199999999998</v>
      </c>
      <c r="B3" s="17">
        <v>2181.7199999999998</v>
      </c>
      <c r="C3">
        <v>2339</v>
      </c>
      <c r="D3" s="3">
        <v>2668.63</v>
      </c>
      <c r="E3" s="3">
        <f t="shared" si="0"/>
        <v>2428.63</v>
      </c>
      <c r="F3">
        <v>2339</v>
      </c>
      <c r="G3" s="3">
        <f t="shared" si="1"/>
        <v>2383.8150000000001</v>
      </c>
      <c r="H3" s="3">
        <f t="shared" si="2"/>
        <v>2379.8150000000001</v>
      </c>
    </row>
    <row r="4" spans="1:8" x14ac:dyDescent="0.25">
      <c r="A4" s="3">
        <v>2171.61</v>
      </c>
      <c r="B4" s="17">
        <v>2171.61</v>
      </c>
      <c r="C4">
        <v>2328</v>
      </c>
      <c r="D4" s="3">
        <v>2668.51</v>
      </c>
      <c r="E4" s="3">
        <f t="shared" si="0"/>
        <v>2428.5100000000002</v>
      </c>
      <c r="F4">
        <v>2328</v>
      </c>
      <c r="G4" s="3">
        <f t="shared" si="1"/>
        <v>2378.2550000000001</v>
      </c>
      <c r="H4" s="3">
        <f t="shared" si="2"/>
        <v>2374.2550000000001</v>
      </c>
    </row>
    <row r="5" spans="1:8" x14ac:dyDescent="0.25">
      <c r="A5" s="3">
        <v>2125.04</v>
      </c>
      <c r="B5" s="17">
        <v>2125.04</v>
      </c>
      <c r="C5">
        <v>2286</v>
      </c>
      <c r="D5" s="3">
        <v>2658.31</v>
      </c>
      <c r="E5" s="3">
        <f t="shared" si="0"/>
        <v>2418.31</v>
      </c>
      <c r="F5">
        <v>2286</v>
      </c>
      <c r="G5" s="3">
        <f t="shared" si="1"/>
        <v>2352.1549999999997</v>
      </c>
      <c r="H5" s="3">
        <f t="shared" si="2"/>
        <v>2348.1549999999997</v>
      </c>
    </row>
    <row r="6" spans="1:8" x14ac:dyDescent="0.25">
      <c r="A6" s="3">
        <v>2147.9499999999998</v>
      </c>
      <c r="B6" s="17">
        <v>2147.9499999999998</v>
      </c>
      <c r="C6">
        <v>2302</v>
      </c>
      <c r="D6" s="3">
        <v>2647.96</v>
      </c>
      <c r="E6" s="3">
        <f t="shared" si="0"/>
        <v>2407.96</v>
      </c>
      <c r="F6">
        <v>2302</v>
      </c>
      <c r="G6" s="3">
        <f t="shared" si="1"/>
        <v>2354.98</v>
      </c>
      <c r="H6" s="3">
        <f t="shared" si="2"/>
        <v>2350.98</v>
      </c>
    </row>
    <row r="7" spans="1:8" x14ac:dyDescent="0.25">
      <c r="A7" s="3">
        <v>2109.92</v>
      </c>
      <c r="B7" s="17">
        <v>2109.92</v>
      </c>
      <c r="C7">
        <v>2267</v>
      </c>
      <c r="D7" s="3">
        <v>2616.02</v>
      </c>
      <c r="E7" s="3">
        <f t="shared" si="0"/>
        <v>2376.02</v>
      </c>
      <c r="F7">
        <v>2267</v>
      </c>
      <c r="G7" s="3">
        <f t="shared" si="1"/>
        <v>2321.5100000000002</v>
      </c>
      <c r="H7" s="3">
        <f t="shared" si="2"/>
        <v>2317.5100000000002</v>
      </c>
    </row>
    <row r="8" spans="1:8" x14ac:dyDescent="0.25">
      <c r="A8" s="3">
        <v>2096.12</v>
      </c>
      <c r="B8" s="17">
        <v>2096.12</v>
      </c>
      <c r="C8">
        <v>2252</v>
      </c>
      <c r="D8" s="3">
        <v>2604.61</v>
      </c>
      <c r="E8" s="3">
        <f t="shared" si="0"/>
        <v>2364.61</v>
      </c>
      <c r="F8">
        <v>2252</v>
      </c>
      <c r="G8" s="3">
        <f t="shared" si="1"/>
        <v>2308.3050000000003</v>
      </c>
      <c r="H8" s="3">
        <f t="shared" si="2"/>
        <v>2304.3050000000003</v>
      </c>
    </row>
    <row r="9" spans="1:8" x14ac:dyDescent="0.25">
      <c r="A9" s="3">
        <v>2094.13</v>
      </c>
      <c r="B9" s="17">
        <v>2094.13</v>
      </c>
      <c r="C9">
        <v>2247</v>
      </c>
      <c r="D9" s="3">
        <v>2692.48</v>
      </c>
      <c r="E9" s="3">
        <f t="shared" si="0"/>
        <v>2452.48</v>
      </c>
      <c r="F9">
        <v>2247</v>
      </c>
      <c r="G9" s="3">
        <f t="shared" si="1"/>
        <v>2349.7399999999998</v>
      </c>
      <c r="H9" s="3">
        <f t="shared" si="2"/>
        <v>2345.7399999999998</v>
      </c>
    </row>
    <row r="10" spans="1:8" x14ac:dyDescent="0.25">
      <c r="A10" s="3">
        <v>2094.41</v>
      </c>
      <c r="B10" s="17">
        <v>2094.41</v>
      </c>
      <c r="C10">
        <v>2245</v>
      </c>
      <c r="D10" s="3">
        <v>2698.53</v>
      </c>
      <c r="E10" s="3">
        <f t="shared" si="0"/>
        <v>2458.5300000000002</v>
      </c>
      <c r="F10">
        <v>2245</v>
      </c>
      <c r="G10" s="3">
        <f t="shared" si="1"/>
        <v>2351.7650000000003</v>
      </c>
      <c r="H10" s="3">
        <f t="shared" si="2"/>
        <v>2347.7650000000003</v>
      </c>
    </row>
    <row r="11" spans="1:8" x14ac:dyDescent="0.25">
      <c r="A11" s="3">
        <v>2062.98</v>
      </c>
      <c r="B11" s="17">
        <v>2062.98</v>
      </c>
      <c r="C11">
        <v>2214</v>
      </c>
      <c r="D11" s="3">
        <v>2683.52</v>
      </c>
      <c r="E11" s="3">
        <f t="shared" si="0"/>
        <v>2443.52</v>
      </c>
      <c r="F11">
        <v>2214</v>
      </c>
      <c r="G11" s="3">
        <f t="shared" si="1"/>
        <v>2328.7600000000002</v>
      </c>
      <c r="H11" s="3">
        <f t="shared" si="2"/>
        <v>2324.7600000000002</v>
      </c>
    </row>
    <row r="12" spans="1:8" x14ac:dyDescent="0.25">
      <c r="A12" s="3">
        <v>2053.0500000000002</v>
      </c>
      <c r="B12" s="17">
        <v>2053.0500000000002</v>
      </c>
      <c r="C12">
        <v>2203</v>
      </c>
      <c r="D12" s="3">
        <v>2649.88</v>
      </c>
      <c r="E12" s="3">
        <f t="shared" si="0"/>
        <v>2409.88</v>
      </c>
      <c r="F12">
        <v>2203</v>
      </c>
      <c r="G12" s="3">
        <f t="shared" si="1"/>
        <v>2306.44</v>
      </c>
      <c r="H12" s="3">
        <f t="shared" si="2"/>
        <v>2302.44</v>
      </c>
    </row>
    <row r="13" spans="1:8" x14ac:dyDescent="0.25">
      <c r="A13" s="3">
        <v>2026.52</v>
      </c>
      <c r="B13" s="17">
        <v>2026.52</v>
      </c>
      <c r="C13">
        <v>2176</v>
      </c>
      <c r="D13" s="3">
        <v>2631.33</v>
      </c>
      <c r="E13" s="3">
        <f t="shared" si="0"/>
        <v>2391.33</v>
      </c>
      <c r="F13">
        <v>2176</v>
      </c>
      <c r="G13" s="3">
        <f t="shared" si="1"/>
        <v>2283.665</v>
      </c>
      <c r="H13" s="3">
        <f t="shared" si="2"/>
        <v>2279.665</v>
      </c>
    </row>
    <row r="14" spans="1:8" x14ac:dyDescent="0.25">
      <c r="A14" s="3">
        <v>2025.17</v>
      </c>
      <c r="B14" s="17">
        <v>2025.17</v>
      </c>
      <c r="C14">
        <v>2172</v>
      </c>
      <c r="D14" s="3">
        <v>2620.39</v>
      </c>
      <c r="E14" s="3">
        <f t="shared" si="0"/>
        <v>2380.39</v>
      </c>
      <c r="F14">
        <v>2172</v>
      </c>
      <c r="G14" s="3">
        <f t="shared" si="1"/>
        <v>2276.1949999999997</v>
      </c>
      <c r="H14" s="3">
        <f t="shared" si="2"/>
        <v>2272.1949999999997</v>
      </c>
    </row>
    <row r="15" spans="1:8" x14ac:dyDescent="0.25">
      <c r="A15" s="3">
        <v>2048.83</v>
      </c>
      <c r="B15" s="17">
        <v>2048.83</v>
      </c>
      <c r="C15">
        <v>2191</v>
      </c>
      <c r="D15" s="3">
        <v>2617.25</v>
      </c>
      <c r="E15" s="3">
        <f t="shared" si="0"/>
        <v>2377.25</v>
      </c>
      <c r="F15">
        <v>2191</v>
      </c>
      <c r="G15" s="3">
        <f t="shared" si="1"/>
        <v>2284.125</v>
      </c>
      <c r="H15" s="3">
        <f t="shared" si="2"/>
        <v>2280.125</v>
      </c>
    </row>
    <row r="16" spans="1:8" x14ac:dyDescent="0.25">
      <c r="A16" s="3">
        <v>2035.93</v>
      </c>
      <c r="B16" s="17">
        <v>2035.93</v>
      </c>
      <c r="C16">
        <v>2176</v>
      </c>
      <c r="D16" s="3">
        <v>2569.86</v>
      </c>
      <c r="E16" s="3">
        <f t="shared" si="0"/>
        <v>2329.86</v>
      </c>
      <c r="F16">
        <v>2176</v>
      </c>
      <c r="G16" s="3">
        <f t="shared" si="1"/>
        <v>2252.9300000000003</v>
      </c>
      <c r="H16" s="3">
        <f t="shared" si="2"/>
        <v>2248.9300000000003</v>
      </c>
    </row>
    <row r="17" spans="1:8" x14ac:dyDescent="0.25">
      <c r="A17" s="3">
        <v>1979.01</v>
      </c>
      <c r="B17" s="17">
        <v>1979.01</v>
      </c>
      <c r="C17">
        <v>2121</v>
      </c>
      <c r="D17" s="3">
        <v>2523.12</v>
      </c>
      <c r="E17" s="3">
        <f t="shared" si="0"/>
        <v>2283.12</v>
      </c>
      <c r="F17">
        <v>2121</v>
      </c>
      <c r="G17" s="3">
        <f t="shared" si="1"/>
        <v>2202.06</v>
      </c>
      <c r="H17" s="3">
        <f t="shared" si="2"/>
        <v>2198.06</v>
      </c>
    </row>
    <row r="18" spans="1:8" x14ac:dyDescent="0.25">
      <c r="A18" s="3">
        <v>1956.04</v>
      </c>
      <c r="B18" s="17">
        <v>1956.04</v>
      </c>
      <c r="C18">
        <v>2097</v>
      </c>
      <c r="D18" s="3">
        <v>2538.11</v>
      </c>
      <c r="E18" s="3">
        <f t="shared" si="0"/>
        <v>2298.11</v>
      </c>
      <c r="F18">
        <v>2097</v>
      </c>
      <c r="G18" s="3">
        <f t="shared" si="1"/>
        <v>2197.5550000000003</v>
      </c>
      <c r="H18" s="3">
        <f t="shared" si="2"/>
        <v>2193.5550000000003</v>
      </c>
    </row>
    <row r="19" spans="1:8" x14ac:dyDescent="0.25">
      <c r="A19" s="3">
        <v>1946.71</v>
      </c>
      <c r="B19" s="17">
        <v>1946.71</v>
      </c>
      <c r="C19">
        <v>2086</v>
      </c>
      <c r="D19" s="3">
        <v>2494.6799999999998</v>
      </c>
      <c r="E19" s="3">
        <f t="shared" si="0"/>
        <v>2254.6799999999998</v>
      </c>
      <c r="F19">
        <v>2086</v>
      </c>
      <c r="G19" s="3">
        <f t="shared" si="1"/>
        <v>2170.34</v>
      </c>
      <c r="H19" s="3">
        <f t="shared" si="2"/>
        <v>2166.34</v>
      </c>
    </row>
    <row r="20" spans="1:8" x14ac:dyDescent="0.25">
      <c r="A20" s="3">
        <v>1898</v>
      </c>
      <c r="B20" s="17">
        <v>1898</v>
      </c>
      <c r="C20">
        <v>2038</v>
      </c>
      <c r="D20" s="3">
        <v>2472.4499999999998</v>
      </c>
      <c r="E20" s="3">
        <f t="shared" si="0"/>
        <v>2232.4499999999998</v>
      </c>
      <c r="F20">
        <v>2038</v>
      </c>
      <c r="G20" s="3">
        <f t="shared" si="1"/>
        <v>2135.2249999999999</v>
      </c>
      <c r="H20" s="3">
        <f t="shared" si="2"/>
        <v>2131.2249999999999</v>
      </c>
    </row>
    <row r="21" spans="1:8" x14ac:dyDescent="0.25">
      <c r="A21" s="8">
        <v>1898</v>
      </c>
      <c r="B21" s="17">
        <v>1898</v>
      </c>
      <c r="C21">
        <v>2035</v>
      </c>
      <c r="D21" s="8">
        <v>2458.4699999999998</v>
      </c>
      <c r="E21" s="3">
        <f t="shared" si="0"/>
        <v>2218.4699999999998</v>
      </c>
      <c r="F21" s="6">
        <v>2035</v>
      </c>
      <c r="G21" s="3">
        <f t="shared" si="1"/>
        <v>2126.7349999999997</v>
      </c>
      <c r="H21" s="3">
        <f t="shared" si="2"/>
        <v>2122.7349999999997</v>
      </c>
    </row>
    <row r="22" spans="1:8" x14ac:dyDescent="0.25">
      <c r="A22" s="3">
        <v>1882</v>
      </c>
      <c r="B22" s="17">
        <v>1870</v>
      </c>
      <c r="C22">
        <v>2006</v>
      </c>
      <c r="D22" s="3">
        <v>2487.9499999999998</v>
      </c>
      <c r="E22" s="3">
        <f t="shared" si="0"/>
        <v>2247.9499999999998</v>
      </c>
      <c r="F22">
        <v>2006</v>
      </c>
      <c r="G22" s="3">
        <f t="shared" si="1"/>
        <v>2126.9749999999999</v>
      </c>
      <c r="H22" s="3">
        <f t="shared" si="2"/>
        <v>2122.9749999999999</v>
      </c>
    </row>
    <row r="23" spans="1:8" x14ac:dyDescent="0.25">
      <c r="A23" s="3">
        <v>1910.64</v>
      </c>
      <c r="B23" s="17">
        <v>1910.64</v>
      </c>
      <c r="C23">
        <v>2043</v>
      </c>
      <c r="D23" s="3">
        <v>2492.0700000000002</v>
      </c>
      <c r="E23" s="3">
        <f t="shared" si="0"/>
        <v>2252.0700000000002</v>
      </c>
      <c r="F23">
        <v>2043</v>
      </c>
      <c r="G23" s="3">
        <f t="shared" si="1"/>
        <v>2147.5349999999999</v>
      </c>
      <c r="H23" s="3">
        <f t="shared" si="2"/>
        <v>2143.5349999999999</v>
      </c>
    </row>
    <row r="24" spans="1:8" x14ac:dyDescent="0.25">
      <c r="A24" s="3">
        <v>1908.42</v>
      </c>
      <c r="B24" s="17">
        <v>1908.42</v>
      </c>
      <c r="C24">
        <v>2039</v>
      </c>
      <c r="D24" s="3">
        <v>2493.59</v>
      </c>
      <c r="E24" s="3">
        <f t="shared" si="0"/>
        <v>2253.59</v>
      </c>
      <c r="F24">
        <v>2039</v>
      </c>
      <c r="G24" s="3">
        <f t="shared" si="1"/>
        <v>2146.2950000000001</v>
      </c>
      <c r="H24" s="3">
        <f t="shared" si="2"/>
        <v>2142.2950000000001</v>
      </c>
    </row>
    <row r="25" spans="1:8" x14ac:dyDescent="0.25">
      <c r="A25" s="3">
        <v>1937.36</v>
      </c>
      <c r="B25" s="17">
        <v>1937.36</v>
      </c>
      <c r="C25">
        <v>2063</v>
      </c>
      <c r="D25" s="3">
        <v>2491.5300000000002</v>
      </c>
      <c r="E25" s="3">
        <f t="shared" si="0"/>
        <v>2251.5300000000002</v>
      </c>
      <c r="F25">
        <v>2063</v>
      </c>
      <c r="G25" s="3">
        <f t="shared" si="1"/>
        <v>2157.2650000000003</v>
      </c>
      <c r="H25" s="3">
        <f t="shared" si="2"/>
        <v>2153.2650000000003</v>
      </c>
    </row>
    <row r="26" spans="1:8" x14ac:dyDescent="0.25">
      <c r="A26" s="3">
        <v>1948.28</v>
      </c>
      <c r="B26" s="17">
        <v>1948.28</v>
      </c>
      <c r="C26">
        <v>2069</v>
      </c>
      <c r="D26" s="3">
        <v>2464.7399999999998</v>
      </c>
      <c r="E26" s="3">
        <f t="shared" si="0"/>
        <v>2224.7399999999998</v>
      </c>
      <c r="F26">
        <v>2069</v>
      </c>
      <c r="G26" s="3">
        <f t="shared" si="1"/>
        <v>2146.87</v>
      </c>
      <c r="H26" s="3">
        <f t="shared" si="2"/>
        <v>2142.87</v>
      </c>
    </row>
    <row r="27" spans="1:8" x14ac:dyDescent="0.25">
      <c r="A27" s="3">
        <v>1961.45</v>
      </c>
      <c r="B27" s="17">
        <v>1961.45</v>
      </c>
      <c r="C27">
        <v>2078</v>
      </c>
      <c r="D27" s="3">
        <v>2382.67</v>
      </c>
      <c r="E27" s="3">
        <f t="shared" si="0"/>
        <v>2142.67</v>
      </c>
      <c r="F27">
        <v>2078</v>
      </c>
      <c r="G27" s="3">
        <f t="shared" si="1"/>
        <v>2110.335</v>
      </c>
      <c r="H27" s="3">
        <f t="shared" si="2"/>
        <v>2106.335</v>
      </c>
    </row>
    <row r="28" spans="1:8" x14ac:dyDescent="0.25">
      <c r="A28" s="3">
        <v>1948.27</v>
      </c>
      <c r="B28" s="17">
        <v>1948.27</v>
      </c>
      <c r="C28">
        <v>2061</v>
      </c>
      <c r="D28" s="3">
        <v>2448.91</v>
      </c>
      <c r="E28" s="3">
        <f t="shared" si="0"/>
        <v>2208.91</v>
      </c>
      <c r="F28">
        <v>2061</v>
      </c>
      <c r="G28" s="3">
        <f t="shared" si="1"/>
        <v>2134.9549999999999</v>
      </c>
      <c r="H28" s="3">
        <f t="shared" si="2"/>
        <v>2130.9549999999999</v>
      </c>
    </row>
    <row r="29" spans="1:8" x14ac:dyDescent="0.25">
      <c r="A29" s="3">
        <v>1943.83</v>
      </c>
      <c r="B29" s="17">
        <v>1943.83</v>
      </c>
      <c r="C29">
        <v>2054</v>
      </c>
      <c r="D29" s="3">
        <v>2449.23</v>
      </c>
      <c r="E29" s="3">
        <f t="shared" si="0"/>
        <v>2209.23</v>
      </c>
      <c r="F29">
        <v>2054</v>
      </c>
      <c r="G29" s="3">
        <f t="shared" si="1"/>
        <v>2131.6149999999998</v>
      </c>
      <c r="H29" s="3">
        <f t="shared" si="2"/>
        <v>2127.6149999999998</v>
      </c>
    </row>
    <row r="30" spans="1:8" x14ac:dyDescent="0.25">
      <c r="A30" s="3">
        <v>1987.72</v>
      </c>
      <c r="B30" s="17">
        <v>1987.72</v>
      </c>
      <c r="C30">
        <v>2094</v>
      </c>
      <c r="D30" s="3">
        <v>2458.08</v>
      </c>
      <c r="E30" s="3">
        <f t="shared" si="0"/>
        <v>2218.08</v>
      </c>
      <c r="F30">
        <v>2094</v>
      </c>
      <c r="G30" s="3">
        <f t="shared" si="1"/>
        <v>2156.04</v>
      </c>
      <c r="H30" s="3">
        <f t="shared" si="2"/>
        <v>2152.04</v>
      </c>
    </row>
    <row r="31" spans="1:8" x14ac:dyDescent="0.25">
      <c r="A31" s="3">
        <v>2020.58</v>
      </c>
      <c r="B31" s="17">
        <v>2020.58</v>
      </c>
      <c r="C31">
        <v>2123</v>
      </c>
      <c r="D31" s="3">
        <v>2489.02</v>
      </c>
      <c r="E31" s="3">
        <f t="shared" si="0"/>
        <v>2249.02</v>
      </c>
      <c r="F31">
        <v>2123</v>
      </c>
      <c r="G31" s="3">
        <f t="shared" si="1"/>
        <v>2186.0100000000002</v>
      </c>
      <c r="H31" s="3">
        <f t="shared" si="2"/>
        <v>2182.0100000000002</v>
      </c>
    </row>
    <row r="32" spans="1:8" x14ac:dyDescent="0.25">
      <c r="A32" s="3">
        <v>2020.49</v>
      </c>
      <c r="B32" s="17">
        <v>2020.49</v>
      </c>
      <c r="C32">
        <v>2120</v>
      </c>
      <c r="D32" s="3">
        <v>2501.31</v>
      </c>
      <c r="E32" s="3">
        <f t="shared" si="0"/>
        <v>2261.31</v>
      </c>
      <c r="F32">
        <v>2120</v>
      </c>
      <c r="G32" s="3">
        <f t="shared" si="1"/>
        <v>2190.6549999999997</v>
      </c>
      <c r="H32" s="3">
        <f t="shared" si="2"/>
        <v>2186.6549999999997</v>
      </c>
    </row>
    <row r="33" spans="1:8" x14ac:dyDescent="0.25">
      <c r="A33" s="3">
        <v>2010.55</v>
      </c>
      <c r="B33" s="17">
        <v>2010.55</v>
      </c>
      <c r="C33">
        <v>2108</v>
      </c>
      <c r="D33" s="3">
        <v>2492.58</v>
      </c>
      <c r="E33" s="3">
        <f t="shared" si="0"/>
        <v>2252.58</v>
      </c>
      <c r="F33">
        <v>2108</v>
      </c>
      <c r="G33" s="3">
        <f t="shared" si="1"/>
        <v>2180.29</v>
      </c>
      <c r="H33" s="3">
        <f t="shared" si="2"/>
        <v>2176.29</v>
      </c>
    </row>
    <row r="34" spans="1:8" x14ac:dyDescent="0.25">
      <c r="A34" s="9">
        <v>1960.24</v>
      </c>
      <c r="B34" s="17">
        <v>1960.24</v>
      </c>
      <c r="C34">
        <v>2055</v>
      </c>
      <c r="D34" s="9">
        <v>2478.54</v>
      </c>
      <c r="E34" s="3">
        <f t="shared" ref="E34:E65" si="3">D34-240</f>
        <v>2238.54</v>
      </c>
      <c r="F34" s="7">
        <v>2055</v>
      </c>
      <c r="G34" s="3">
        <f t="shared" ref="G34:G65" si="4">AVERAGE(E34:F34)</f>
        <v>2146.77</v>
      </c>
      <c r="H34" s="3">
        <f t="shared" ref="H34:H65" si="5">G34-4</f>
        <v>2142.77</v>
      </c>
    </row>
    <row r="35" spans="1:8" x14ac:dyDescent="0.25">
      <c r="A35" s="3">
        <v>1923</v>
      </c>
      <c r="B35" s="17">
        <v>1923</v>
      </c>
      <c r="C35">
        <v>2015</v>
      </c>
      <c r="D35" s="3">
        <v>2476.2800000000002</v>
      </c>
      <c r="E35" s="3">
        <f t="shared" si="3"/>
        <v>2236.2800000000002</v>
      </c>
      <c r="F35">
        <v>2015</v>
      </c>
      <c r="G35" s="3">
        <f t="shared" si="4"/>
        <v>2125.6400000000003</v>
      </c>
      <c r="H35" s="3">
        <f t="shared" si="5"/>
        <v>2121.6400000000003</v>
      </c>
    </row>
    <row r="36" spans="1:8" x14ac:dyDescent="0.25">
      <c r="A36" s="3">
        <v>1893</v>
      </c>
      <c r="B36" s="17">
        <v>1891</v>
      </c>
      <c r="C36">
        <v>1981</v>
      </c>
      <c r="D36" s="3">
        <v>2453.94</v>
      </c>
      <c r="E36" s="3">
        <f t="shared" si="3"/>
        <v>2213.94</v>
      </c>
      <c r="F36">
        <v>1981</v>
      </c>
      <c r="G36" s="3">
        <f t="shared" si="4"/>
        <v>2097.4700000000003</v>
      </c>
      <c r="H36" s="3">
        <f t="shared" si="5"/>
        <v>2093.4700000000003</v>
      </c>
    </row>
    <row r="37" spans="1:8" x14ac:dyDescent="0.25">
      <c r="A37" s="3">
        <v>1891</v>
      </c>
      <c r="B37" s="17">
        <v>1884</v>
      </c>
      <c r="C37">
        <v>1971</v>
      </c>
      <c r="D37" s="3">
        <v>2420.29</v>
      </c>
      <c r="E37" s="3">
        <f t="shared" si="3"/>
        <v>2180.29</v>
      </c>
      <c r="F37">
        <v>1971</v>
      </c>
      <c r="G37" s="3">
        <f t="shared" si="4"/>
        <v>2075.645</v>
      </c>
      <c r="H37" s="3">
        <f t="shared" si="5"/>
        <v>2071.645</v>
      </c>
    </row>
    <row r="38" spans="1:8" x14ac:dyDescent="0.25">
      <c r="A38" s="3">
        <v>1885</v>
      </c>
      <c r="B38" s="17">
        <v>1826</v>
      </c>
      <c r="C38">
        <v>1910</v>
      </c>
      <c r="D38" s="3">
        <v>2431.1999999999998</v>
      </c>
      <c r="E38" s="3">
        <f t="shared" si="3"/>
        <v>2191.1999999999998</v>
      </c>
      <c r="F38">
        <v>1910</v>
      </c>
      <c r="G38" s="3">
        <f t="shared" si="4"/>
        <v>2050.6</v>
      </c>
      <c r="H38" s="3">
        <f t="shared" si="5"/>
        <v>2046.6</v>
      </c>
    </row>
    <row r="39" spans="1:8" x14ac:dyDescent="0.25">
      <c r="A39" s="3">
        <v>1859</v>
      </c>
      <c r="B39" s="17">
        <v>1831</v>
      </c>
      <c r="C39">
        <v>1911</v>
      </c>
      <c r="D39" s="3">
        <v>2390.64</v>
      </c>
      <c r="E39" s="3">
        <f t="shared" si="3"/>
        <v>2150.64</v>
      </c>
      <c r="F39">
        <v>1911</v>
      </c>
      <c r="G39" s="3">
        <f t="shared" si="4"/>
        <v>2030.82</v>
      </c>
      <c r="H39" s="3">
        <f t="shared" si="5"/>
        <v>2026.82</v>
      </c>
    </row>
    <row r="40" spans="1:8" x14ac:dyDescent="0.25">
      <c r="A40" s="3">
        <v>1854</v>
      </c>
      <c r="B40" s="17">
        <v>1820</v>
      </c>
      <c r="C40">
        <v>1898</v>
      </c>
      <c r="D40" s="3">
        <v>2343.04</v>
      </c>
      <c r="E40" s="3">
        <f t="shared" si="3"/>
        <v>2103.04</v>
      </c>
      <c r="F40">
        <v>1898</v>
      </c>
      <c r="G40" s="3">
        <f t="shared" si="4"/>
        <v>2000.52</v>
      </c>
      <c r="H40" s="3">
        <f t="shared" si="5"/>
        <v>1996.52</v>
      </c>
    </row>
    <row r="41" spans="1:8" x14ac:dyDescent="0.25">
      <c r="A41" s="3">
        <v>1844</v>
      </c>
      <c r="B41" s="17">
        <v>1831</v>
      </c>
      <c r="C41">
        <v>1906</v>
      </c>
      <c r="D41" s="3">
        <v>2335.2199999999998</v>
      </c>
      <c r="E41" s="3">
        <f t="shared" si="3"/>
        <v>2095.2199999999998</v>
      </c>
      <c r="F41">
        <v>1906</v>
      </c>
      <c r="G41" s="3">
        <f t="shared" si="4"/>
        <v>2000.61</v>
      </c>
      <c r="H41" s="3">
        <f t="shared" si="5"/>
        <v>1996.61</v>
      </c>
    </row>
    <row r="42" spans="1:8" x14ac:dyDescent="0.25">
      <c r="A42" s="8">
        <v>1854</v>
      </c>
      <c r="B42" s="17">
        <v>1822</v>
      </c>
      <c r="C42">
        <v>1895</v>
      </c>
      <c r="D42" s="8">
        <v>2335.2199999999998</v>
      </c>
      <c r="E42" s="3">
        <f t="shared" si="3"/>
        <v>2095.2199999999998</v>
      </c>
      <c r="F42" s="6">
        <v>1895</v>
      </c>
      <c r="G42" s="3">
        <f t="shared" si="4"/>
        <v>1995.11</v>
      </c>
      <c r="H42" s="3">
        <f t="shared" si="5"/>
        <v>1991.11</v>
      </c>
    </row>
    <row r="43" spans="1:8" x14ac:dyDescent="0.25">
      <c r="A43" s="3">
        <v>1836</v>
      </c>
      <c r="B43" s="17">
        <v>1836</v>
      </c>
      <c r="C43">
        <v>1906</v>
      </c>
      <c r="D43" s="3">
        <v>2362</v>
      </c>
      <c r="E43" s="3">
        <f t="shared" si="3"/>
        <v>2122</v>
      </c>
      <c r="F43">
        <v>1906</v>
      </c>
      <c r="G43" s="3">
        <f t="shared" si="4"/>
        <v>2014</v>
      </c>
      <c r="H43" s="3">
        <f t="shared" si="5"/>
        <v>2010</v>
      </c>
    </row>
    <row r="44" spans="1:8" x14ac:dyDescent="0.25">
      <c r="A44" s="3">
        <v>1827</v>
      </c>
      <c r="B44" s="17">
        <v>1825</v>
      </c>
      <c r="C44">
        <v>1894</v>
      </c>
      <c r="D44" s="3">
        <v>2355</v>
      </c>
      <c r="E44" s="3">
        <f t="shared" si="3"/>
        <v>2115</v>
      </c>
      <c r="F44">
        <v>1894</v>
      </c>
      <c r="G44" s="3">
        <f t="shared" si="4"/>
        <v>2004.5</v>
      </c>
      <c r="H44" s="3">
        <f t="shared" si="5"/>
        <v>2000.5</v>
      </c>
    </row>
    <row r="45" spans="1:8" x14ac:dyDescent="0.25">
      <c r="A45" s="3">
        <v>1831</v>
      </c>
      <c r="B45" s="17">
        <v>1790</v>
      </c>
      <c r="C45">
        <v>1858</v>
      </c>
      <c r="D45" s="3">
        <v>2344</v>
      </c>
      <c r="E45" s="3">
        <f t="shared" si="3"/>
        <v>2104</v>
      </c>
      <c r="F45">
        <v>1858</v>
      </c>
      <c r="G45" s="3">
        <f t="shared" si="4"/>
        <v>1981</v>
      </c>
      <c r="H45" s="3">
        <f t="shared" si="5"/>
        <v>1977</v>
      </c>
    </row>
    <row r="46" spans="1:8" x14ac:dyDescent="0.25">
      <c r="A46" s="3">
        <v>1835</v>
      </c>
      <c r="B46" s="17">
        <v>1832</v>
      </c>
      <c r="C46">
        <v>1898</v>
      </c>
      <c r="D46" s="3">
        <v>2389</v>
      </c>
      <c r="E46" s="3">
        <f t="shared" si="3"/>
        <v>2149</v>
      </c>
      <c r="F46">
        <v>1898</v>
      </c>
      <c r="G46" s="3">
        <f t="shared" si="4"/>
        <v>2023.5</v>
      </c>
      <c r="H46" s="3">
        <f t="shared" si="5"/>
        <v>2019.5</v>
      </c>
    </row>
    <row r="47" spans="1:8" x14ac:dyDescent="0.25">
      <c r="A47" s="3">
        <v>1851</v>
      </c>
      <c r="B47" s="17">
        <v>1851</v>
      </c>
      <c r="C47">
        <v>1916</v>
      </c>
      <c r="D47" s="3">
        <v>2392</v>
      </c>
      <c r="E47" s="3">
        <f t="shared" si="3"/>
        <v>2152</v>
      </c>
      <c r="F47">
        <v>1916</v>
      </c>
      <c r="G47" s="3">
        <f t="shared" si="4"/>
        <v>2034</v>
      </c>
      <c r="H47" s="3">
        <f t="shared" si="5"/>
        <v>2030</v>
      </c>
    </row>
    <row r="48" spans="1:8" x14ac:dyDescent="0.25">
      <c r="A48" s="3">
        <v>1815</v>
      </c>
      <c r="B48" s="17">
        <v>1815</v>
      </c>
      <c r="C48">
        <v>1879</v>
      </c>
      <c r="D48" s="3">
        <v>2345</v>
      </c>
      <c r="E48" s="3">
        <f t="shared" si="3"/>
        <v>2105</v>
      </c>
      <c r="F48">
        <v>1879</v>
      </c>
      <c r="G48" s="3">
        <f t="shared" si="4"/>
        <v>1992</v>
      </c>
      <c r="H48" s="3">
        <f t="shared" si="5"/>
        <v>1988</v>
      </c>
    </row>
    <row r="49" spans="1:8" x14ac:dyDescent="0.25">
      <c r="A49" s="3">
        <v>1823</v>
      </c>
      <c r="B49" s="17">
        <v>1823</v>
      </c>
      <c r="C49">
        <v>1887</v>
      </c>
      <c r="D49" s="3">
        <v>2351</v>
      </c>
      <c r="E49" s="3">
        <f t="shared" si="3"/>
        <v>2111</v>
      </c>
      <c r="F49">
        <v>1887</v>
      </c>
      <c r="G49" s="3">
        <f t="shared" si="4"/>
        <v>1999</v>
      </c>
      <c r="H49" s="3">
        <f t="shared" si="5"/>
        <v>1995</v>
      </c>
    </row>
    <row r="50" spans="1:8" x14ac:dyDescent="0.25">
      <c r="A50" s="3">
        <v>1839</v>
      </c>
      <c r="B50" s="17">
        <v>1839</v>
      </c>
      <c r="C50">
        <v>1902</v>
      </c>
      <c r="D50" s="3">
        <v>2347</v>
      </c>
      <c r="E50" s="3">
        <f t="shared" si="3"/>
        <v>2107</v>
      </c>
      <c r="F50">
        <v>1902</v>
      </c>
      <c r="G50" s="3">
        <f t="shared" si="4"/>
        <v>2004.5</v>
      </c>
      <c r="H50" s="3">
        <f t="shared" si="5"/>
        <v>2000.5</v>
      </c>
    </row>
    <row r="51" spans="1:8" x14ac:dyDescent="0.25">
      <c r="A51" s="3">
        <v>1886</v>
      </c>
      <c r="B51" s="17">
        <v>1886</v>
      </c>
      <c r="C51">
        <v>1949</v>
      </c>
      <c r="D51" s="3">
        <v>2372</v>
      </c>
      <c r="E51" s="3">
        <f t="shared" si="3"/>
        <v>2132</v>
      </c>
      <c r="F51">
        <v>1949</v>
      </c>
      <c r="G51" s="3">
        <f t="shared" si="4"/>
        <v>2040.5</v>
      </c>
      <c r="H51" s="3">
        <f t="shared" si="5"/>
        <v>2036.5</v>
      </c>
    </row>
    <row r="52" spans="1:8" x14ac:dyDescent="0.25">
      <c r="A52" s="3">
        <v>1904</v>
      </c>
      <c r="B52" s="17">
        <v>1904</v>
      </c>
      <c r="C52">
        <v>1967</v>
      </c>
      <c r="D52" s="3">
        <v>2361</v>
      </c>
      <c r="E52" s="3">
        <f t="shared" si="3"/>
        <v>2121</v>
      </c>
      <c r="F52">
        <v>1967</v>
      </c>
      <c r="G52" s="3">
        <f t="shared" si="4"/>
        <v>2044</v>
      </c>
      <c r="H52" s="3">
        <f t="shared" si="5"/>
        <v>2040</v>
      </c>
    </row>
    <row r="53" spans="1:8" x14ac:dyDescent="0.25">
      <c r="A53" s="3">
        <v>1891</v>
      </c>
      <c r="B53" s="17">
        <v>1891</v>
      </c>
      <c r="C53">
        <v>1955</v>
      </c>
      <c r="D53" s="3">
        <v>2315</v>
      </c>
      <c r="E53" s="3">
        <f t="shared" si="3"/>
        <v>2075</v>
      </c>
      <c r="F53">
        <v>1955</v>
      </c>
      <c r="G53" s="3">
        <f t="shared" si="4"/>
        <v>2015</v>
      </c>
      <c r="H53" s="3">
        <f t="shared" si="5"/>
        <v>2011</v>
      </c>
    </row>
    <row r="54" spans="1:8" x14ac:dyDescent="0.25">
      <c r="A54" s="3">
        <v>1895</v>
      </c>
      <c r="B54" s="17">
        <v>1895</v>
      </c>
      <c r="C54">
        <v>1960</v>
      </c>
      <c r="D54" s="3">
        <v>2332</v>
      </c>
      <c r="E54" s="3">
        <f t="shared" si="3"/>
        <v>2092</v>
      </c>
      <c r="F54">
        <v>1960</v>
      </c>
      <c r="G54" s="3">
        <f t="shared" si="4"/>
        <v>2026</v>
      </c>
      <c r="H54" s="3">
        <f t="shared" si="5"/>
        <v>2022</v>
      </c>
    </row>
    <row r="55" spans="1:8" x14ac:dyDescent="0.25">
      <c r="A55" s="3">
        <v>1923</v>
      </c>
      <c r="B55" s="17">
        <v>1923</v>
      </c>
      <c r="C55">
        <v>1988</v>
      </c>
      <c r="D55" s="3">
        <v>2318.15</v>
      </c>
      <c r="E55" s="3">
        <f t="shared" si="3"/>
        <v>2078.15</v>
      </c>
      <c r="F55">
        <v>1988</v>
      </c>
      <c r="G55" s="3">
        <f t="shared" si="4"/>
        <v>2033.075</v>
      </c>
      <c r="H55" s="3">
        <f t="shared" si="5"/>
        <v>2029.075</v>
      </c>
    </row>
    <row r="56" spans="1:8" x14ac:dyDescent="0.25">
      <c r="A56" s="3">
        <v>1934</v>
      </c>
      <c r="B56" s="17">
        <v>1934</v>
      </c>
      <c r="C56">
        <v>2000</v>
      </c>
      <c r="D56" s="3">
        <v>2405.5500000000002</v>
      </c>
      <c r="E56" s="3">
        <f t="shared" si="3"/>
        <v>2165.5500000000002</v>
      </c>
      <c r="F56">
        <v>2000</v>
      </c>
      <c r="G56" s="3">
        <f t="shared" si="4"/>
        <v>2082.7750000000001</v>
      </c>
      <c r="H56" s="3">
        <f t="shared" si="5"/>
        <v>2078.7750000000001</v>
      </c>
    </row>
    <row r="57" spans="1:8" x14ac:dyDescent="0.25">
      <c r="A57" s="3">
        <v>1925</v>
      </c>
      <c r="B57" s="17">
        <v>1925</v>
      </c>
      <c r="C57">
        <v>1993</v>
      </c>
      <c r="D57" s="3">
        <v>2392.8000000000002</v>
      </c>
      <c r="E57" s="3">
        <f t="shared" si="3"/>
        <v>2152.8000000000002</v>
      </c>
      <c r="F57">
        <v>1993</v>
      </c>
      <c r="G57" s="3">
        <f t="shared" si="4"/>
        <v>2072.9</v>
      </c>
      <c r="H57" s="3">
        <f t="shared" si="5"/>
        <v>2068.9</v>
      </c>
    </row>
    <row r="58" spans="1:8" x14ac:dyDescent="0.25">
      <c r="A58" s="3">
        <v>1952</v>
      </c>
      <c r="B58" s="17">
        <v>1952</v>
      </c>
      <c r="C58">
        <v>2021</v>
      </c>
      <c r="D58" s="3">
        <v>2398.13</v>
      </c>
      <c r="E58" s="3">
        <f t="shared" si="3"/>
        <v>2158.13</v>
      </c>
      <c r="F58">
        <v>2021</v>
      </c>
      <c r="G58" s="3">
        <f t="shared" si="4"/>
        <v>2089.5650000000001</v>
      </c>
      <c r="H58" s="3">
        <f t="shared" si="5"/>
        <v>2085.5650000000001</v>
      </c>
    </row>
    <row r="59" spans="1:8" x14ac:dyDescent="0.25">
      <c r="A59" s="3">
        <v>1972</v>
      </c>
      <c r="B59" s="17">
        <v>1972</v>
      </c>
      <c r="C59">
        <v>2043</v>
      </c>
      <c r="D59" s="3">
        <v>2360.65</v>
      </c>
      <c r="E59" s="3">
        <f t="shared" si="3"/>
        <v>2120.65</v>
      </c>
      <c r="F59">
        <v>2043</v>
      </c>
      <c r="G59" s="3">
        <f t="shared" si="4"/>
        <v>2081.8249999999998</v>
      </c>
      <c r="H59" s="3">
        <f t="shared" si="5"/>
        <v>2077.8249999999998</v>
      </c>
    </row>
    <row r="60" spans="1:8" x14ac:dyDescent="0.25">
      <c r="A60" s="3">
        <v>1983</v>
      </c>
      <c r="B60" s="17">
        <v>1983</v>
      </c>
      <c r="C60">
        <v>2056</v>
      </c>
      <c r="D60" s="3">
        <v>2382.14</v>
      </c>
      <c r="E60" s="3">
        <f t="shared" si="3"/>
        <v>2142.14</v>
      </c>
      <c r="F60">
        <v>2056</v>
      </c>
      <c r="G60" s="3">
        <f t="shared" si="4"/>
        <v>2099.0699999999997</v>
      </c>
      <c r="H60" s="3">
        <f t="shared" si="5"/>
        <v>2095.0699999999997</v>
      </c>
    </row>
    <row r="61" spans="1:8" x14ac:dyDescent="0.25">
      <c r="A61" s="3">
        <v>1985</v>
      </c>
      <c r="B61" s="17">
        <v>1985</v>
      </c>
      <c r="C61">
        <v>2060</v>
      </c>
      <c r="D61" s="3">
        <v>2377.73</v>
      </c>
      <c r="E61" s="3">
        <f t="shared" si="3"/>
        <v>2137.73</v>
      </c>
      <c r="F61">
        <v>2060</v>
      </c>
      <c r="G61" s="3">
        <f t="shared" si="4"/>
        <v>2098.8649999999998</v>
      </c>
      <c r="H61" s="3">
        <f t="shared" si="5"/>
        <v>2094.8649999999998</v>
      </c>
    </row>
    <row r="62" spans="1:8" x14ac:dyDescent="0.25">
      <c r="A62" s="3">
        <v>1968</v>
      </c>
      <c r="B62" s="17">
        <v>1968</v>
      </c>
      <c r="C62">
        <v>2047</v>
      </c>
      <c r="D62" s="3">
        <v>2375.62</v>
      </c>
      <c r="E62" s="3">
        <f t="shared" si="3"/>
        <v>2135.62</v>
      </c>
      <c r="F62">
        <v>2047</v>
      </c>
      <c r="G62" s="3">
        <f t="shared" si="4"/>
        <v>2091.31</v>
      </c>
      <c r="H62" s="3">
        <f t="shared" si="5"/>
        <v>2087.31</v>
      </c>
    </row>
    <row r="63" spans="1:8" x14ac:dyDescent="0.25">
      <c r="A63" s="3">
        <v>1976</v>
      </c>
      <c r="B63" s="17">
        <v>1976</v>
      </c>
      <c r="C63">
        <v>2059</v>
      </c>
      <c r="D63" s="3">
        <v>2385</v>
      </c>
      <c r="E63" s="3">
        <f t="shared" si="3"/>
        <v>2145</v>
      </c>
      <c r="F63">
        <v>2059</v>
      </c>
      <c r="G63" s="3">
        <f t="shared" si="4"/>
        <v>2102</v>
      </c>
      <c r="H63" s="3">
        <f t="shared" si="5"/>
        <v>2098</v>
      </c>
    </row>
    <row r="64" spans="1:8" x14ac:dyDescent="0.25">
      <c r="A64" s="3">
        <v>1990</v>
      </c>
      <c r="B64" s="17">
        <v>1990</v>
      </c>
      <c r="C64">
        <v>2076</v>
      </c>
      <c r="D64" s="3">
        <v>2330</v>
      </c>
      <c r="E64" s="3">
        <f t="shared" si="3"/>
        <v>2090</v>
      </c>
      <c r="F64">
        <v>2076</v>
      </c>
      <c r="G64" s="3">
        <f t="shared" si="4"/>
        <v>2083</v>
      </c>
      <c r="H64" s="3">
        <f t="shared" si="5"/>
        <v>2079</v>
      </c>
    </row>
    <row r="65" spans="1:8" x14ac:dyDescent="0.25">
      <c r="A65" s="3">
        <v>2029</v>
      </c>
      <c r="B65" s="17">
        <v>2029</v>
      </c>
      <c r="C65">
        <v>2116</v>
      </c>
      <c r="D65" s="3">
        <v>2294</v>
      </c>
      <c r="E65" s="3">
        <f t="shared" si="3"/>
        <v>2054</v>
      </c>
      <c r="F65">
        <v>2116</v>
      </c>
      <c r="G65" s="3">
        <f t="shared" si="4"/>
        <v>2085</v>
      </c>
      <c r="H65" s="3">
        <f t="shared" si="5"/>
        <v>2081</v>
      </c>
    </row>
    <row r="66" spans="1:8" x14ac:dyDescent="0.25">
      <c r="A66" s="3">
        <v>2019</v>
      </c>
      <c r="B66" s="17">
        <v>2019.46</v>
      </c>
      <c r="C66">
        <v>2112</v>
      </c>
      <c r="D66" s="3">
        <v>2291.0700000000002</v>
      </c>
      <c r="E66" s="3">
        <f t="shared" ref="E66:E97" si="6">D66-240</f>
        <v>2051.0700000000002</v>
      </c>
      <c r="F66">
        <v>2112</v>
      </c>
      <c r="G66" s="3">
        <f t="shared" ref="G66:G97" si="7">AVERAGE(E66:F66)</f>
        <v>2081.5349999999999</v>
      </c>
      <c r="H66" s="3">
        <f t="shared" ref="H66:H97" si="8">G66-4</f>
        <v>2077.5349999999999</v>
      </c>
    </row>
    <row r="67" spans="1:8" x14ac:dyDescent="0.25">
      <c r="A67" s="3">
        <v>2005</v>
      </c>
      <c r="B67" s="17">
        <v>2004.03</v>
      </c>
      <c r="C67">
        <v>2103</v>
      </c>
      <c r="D67" s="3">
        <v>2323.52</v>
      </c>
      <c r="E67" s="3">
        <f t="shared" si="6"/>
        <v>2083.52</v>
      </c>
      <c r="F67">
        <v>2103</v>
      </c>
      <c r="G67" s="3">
        <f t="shared" si="7"/>
        <v>2093.2600000000002</v>
      </c>
      <c r="H67" s="3">
        <f t="shared" si="8"/>
        <v>2089.2600000000002</v>
      </c>
    </row>
    <row r="68" spans="1:8" x14ac:dyDescent="0.25">
      <c r="A68" s="3">
        <v>2015</v>
      </c>
      <c r="B68" s="17">
        <v>2034.41</v>
      </c>
      <c r="C68">
        <v>2136</v>
      </c>
      <c r="D68" s="3">
        <v>2310.4899999999998</v>
      </c>
      <c r="E68" s="3">
        <f t="shared" si="6"/>
        <v>2070.4899999999998</v>
      </c>
      <c r="F68">
        <v>2136</v>
      </c>
      <c r="G68" s="3">
        <f t="shared" si="7"/>
        <v>2103.2449999999999</v>
      </c>
      <c r="H68" s="3">
        <f t="shared" si="8"/>
        <v>2099.2449999999999</v>
      </c>
    </row>
    <row r="69" spans="1:8" x14ac:dyDescent="0.25">
      <c r="A69" s="3">
        <v>2050</v>
      </c>
      <c r="B69" s="17">
        <v>2041.43</v>
      </c>
      <c r="C69">
        <v>2148</v>
      </c>
      <c r="D69" s="3">
        <v>2258.64</v>
      </c>
      <c r="E69" s="3">
        <f t="shared" si="6"/>
        <v>2018.6399999999999</v>
      </c>
      <c r="F69">
        <v>2148</v>
      </c>
      <c r="G69" s="3">
        <f t="shared" si="7"/>
        <v>2083.3199999999997</v>
      </c>
      <c r="H69" s="3">
        <f t="shared" si="8"/>
        <v>2079.3199999999997</v>
      </c>
    </row>
    <row r="70" spans="1:8" x14ac:dyDescent="0.25">
      <c r="A70" s="3">
        <v>2059</v>
      </c>
      <c r="B70" s="17">
        <v>2076.5</v>
      </c>
      <c r="C70">
        <v>2186</v>
      </c>
      <c r="D70" s="3">
        <v>2262.4</v>
      </c>
      <c r="E70" s="3">
        <f t="shared" si="6"/>
        <v>2022.4</v>
      </c>
      <c r="F70">
        <v>2186</v>
      </c>
      <c r="G70" s="3">
        <f t="shared" si="7"/>
        <v>2104.1999999999998</v>
      </c>
      <c r="H70" s="3">
        <f t="shared" si="8"/>
        <v>2100.1999999999998</v>
      </c>
    </row>
    <row r="71" spans="1:8" x14ac:dyDescent="0.25">
      <c r="A71" s="3">
        <v>2065</v>
      </c>
      <c r="B71" s="17">
        <v>2070.5100000000002</v>
      </c>
      <c r="C71">
        <v>2189</v>
      </c>
      <c r="D71" s="3">
        <v>2195.6999999999998</v>
      </c>
      <c r="E71" s="3">
        <f t="shared" si="6"/>
        <v>1955.6999999999998</v>
      </c>
      <c r="F71">
        <v>2189</v>
      </c>
      <c r="G71" s="3">
        <f t="shared" si="7"/>
        <v>2072.35</v>
      </c>
      <c r="H71" s="3">
        <f t="shared" si="8"/>
        <v>2068.35</v>
      </c>
    </row>
    <row r="72" spans="1:8" x14ac:dyDescent="0.25">
      <c r="A72" s="3">
        <v>2041</v>
      </c>
      <c r="B72" s="17">
        <v>2066.42</v>
      </c>
      <c r="C72">
        <v>2195</v>
      </c>
      <c r="D72" s="3">
        <v>2212.0300000000002</v>
      </c>
      <c r="E72" s="3">
        <f t="shared" si="6"/>
        <v>1972.0300000000002</v>
      </c>
      <c r="F72">
        <v>2195</v>
      </c>
      <c r="G72" s="3">
        <f t="shared" si="7"/>
        <v>2083.5150000000003</v>
      </c>
      <c r="H72" s="3">
        <f t="shared" si="8"/>
        <v>2079.5150000000003</v>
      </c>
    </row>
    <row r="73" spans="1:8" x14ac:dyDescent="0.25">
      <c r="A73" s="9">
        <v>1980</v>
      </c>
      <c r="B73" s="17">
        <v>2042.67</v>
      </c>
      <c r="C73">
        <v>2187</v>
      </c>
      <c r="D73" s="3">
        <v>2217.37</v>
      </c>
      <c r="E73" s="3">
        <f t="shared" si="6"/>
        <v>1977.37</v>
      </c>
      <c r="F73" s="7">
        <v>2187</v>
      </c>
      <c r="G73" s="3">
        <f t="shared" si="7"/>
        <v>2082.1849999999999</v>
      </c>
      <c r="H73" s="3">
        <f t="shared" si="8"/>
        <v>2078.1849999999999</v>
      </c>
    </row>
    <row r="74" spans="1:8" x14ac:dyDescent="0.25">
      <c r="A74" s="8">
        <v>1912</v>
      </c>
      <c r="B74" s="17">
        <v>2054.54</v>
      </c>
      <c r="C74">
        <v>2215</v>
      </c>
      <c r="D74" s="3">
        <v>2160.58</v>
      </c>
      <c r="E74" s="3">
        <f t="shared" si="6"/>
        <v>1920.58</v>
      </c>
      <c r="F74" s="6">
        <v>2215</v>
      </c>
      <c r="G74" s="3">
        <f t="shared" si="7"/>
        <v>2067.79</v>
      </c>
      <c r="H74" s="3">
        <f t="shared" si="8"/>
        <v>2063.79</v>
      </c>
    </row>
    <row r="75" spans="1:8" x14ac:dyDescent="0.25">
      <c r="A75" s="3">
        <v>1904</v>
      </c>
      <c r="B75" s="17">
        <v>2020.58</v>
      </c>
      <c r="C75">
        <v>2206</v>
      </c>
      <c r="D75" s="3">
        <v>2122.2399999999998</v>
      </c>
      <c r="E75" s="3">
        <f t="shared" si="6"/>
        <v>1882.2399999999998</v>
      </c>
      <c r="F75">
        <v>2206</v>
      </c>
      <c r="G75" s="3">
        <f t="shared" si="7"/>
        <v>2044.12</v>
      </c>
      <c r="H75" s="3">
        <f t="shared" si="8"/>
        <v>2040.12</v>
      </c>
    </row>
    <row r="76" spans="1:8" x14ac:dyDescent="0.25">
      <c r="A76" s="3">
        <v>1935</v>
      </c>
      <c r="B76" s="17">
        <v>2054.2199999999998</v>
      </c>
      <c r="C76">
        <v>2261</v>
      </c>
      <c r="D76" s="3">
        <v>2135.09</v>
      </c>
      <c r="E76" s="3">
        <f t="shared" si="6"/>
        <v>1895.0900000000001</v>
      </c>
      <c r="F76">
        <v>2261</v>
      </c>
      <c r="G76" s="3">
        <f t="shared" si="7"/>
        <v>2078.0450000000001</v>
      </c>
      <c r="H76" s="3">
        <f t="shared" si="8"/>
        <v>2074.0450000000001</v>
      </c>
    </row>
    <row r="77" spans="1:8" x14ac:dyDescent="0.25">
      <c r="A77" s="3">
        <v>1952</v>
      </c>
      <c r="B77" s="17">
        <v>2053.0700000000002</v>
      </c>
      <c r="C77">
        <v>2288</v>
      </c>
      <c r="D77" s="3">
        <v>2173.02</v>
      </c>
      <c r="E77" s="3">
        <f t="shared" si="6"/>
        <v>1933.02</v>
      </c>
      <c r="F77">
        <v>2288</v>
      </c>
      <c r="G77" s="3">
        <f t="shared" si="7"/>
        <v>2110.5100000000002</v>
      </c>
      <c r="H77" s="3">
        <f t="shared" si="8"/>
        <v>2106.5100000000002</v>
      </c>
    </row>
    <row r="78" spans="1:8" x14ac:dyDescent="0.25">
      <c r="A78" s="3">
        <v>2041</v>
      </c>
      <c r="B78" s="17">
        <v>2073.1799999999998</v>
      </c>
      <c r="C78">
        <v>2333</v>
      </c>
      <c r="D78" s="3">
        <v>2195.33</v>
      </c>
      <c r="E78" s="3">
        <f t="shared" si="6"/>
        <v>1955.33</v>
      </c>
      <c r="F78">
        <v>2333</v>
      </c>
      <c r="G78" s="3">
        <f t="shared" si="7"/>
        <v>2144.165</v>
      </c>
      <c r="H78" s="3">
        <f t="shared" si="8"/>
        <v>2140.165</v>
      </c>
    </row>
    <row r="79" spans="1:8" x14ac:dyDescent="0.25">
      <c r="A79" s="3">
        <v>2091</v>
      </c>
      <c r="B79" s="17">
        <v>2130.94</v>
      </c>
      <c r="C79">
        <v>2407</v>
      </c>
      <c r="D79" s="3">
        <v>2270.13</v>
      </c>
      <c r="E79" s="3">
        <f t="shared" si="6"/>
        <v>2030.13</v>
      </c>
      <c r="F79">
        <v>2407</v>
      </c>
      <c r="G79" s="3">
        <f t="shared" si="7"/>
        <v>2218.5650000000001</v>
      </c>
      <c r="H79" s="3">
        <f t="shared" si="8"/>
        <v>2214.5650000000001</v>
      </c>
    </row>
    <row r="80" spans="1:8" x14ac:dyDescent="0.25">
      <c r="A80" s="3">
        <v>2150</v>
      </c>
      <c r="B80" s="17">
        <v>2218.91</v>
      </c>
      <c r="C80">
        <v>2501</v>
      </c>
      <c r="D80" s="3">
        <v>2360.52</v>
      </c>
      <c r="E80" s="3">
        <f t="shared" si="6"/>
        <v>2120.52</v>
      </c>
      <c r="F80">
        <v>2501</v>
      </c>
      <c r="G80" s="3">
        <f t="shared" si="7"/>
        <v>2310.7600000000002</v>
      </c>
      <c r="H80" s="3">
        <f t="shared" si="8"/>
        <v>2306.7600000000002</v>
      </c>
    </row>
    <row r="81" spans="1:8" x14ac:dyDescent="0.25">
      <c r="A81" s="3">
        <v>2210</v>
      </c>
      <c r="B81" s="17">
        <v>2312.06</v>
      </c>
      <c r="C81">
        <v>2592</v>
      </c>
      <c r="D81" s="3">
        <v>2469.9299999999998</v>
      </c>
      <c r="E81" s="3">
        <f t="shared" si="6"/>
        <v>2229.9299999999998</v>
      </c>
      <c r="F81">
        <v>2592</v>
      </c>
      <c r="G81" s="3">
        <f t="shared" si="7"/>
        <v>2410.9650000000001</v>
      </c>
      <c r="H81" s="3">
        <f t="shared" si="8"/>
        <v>2406.9650000000001</v>
      </c>
    </row>
    <row r="82" spans="1:8" x14ac:dyDescent="0.25">
      <c r="A82" s="3">
        <v>2253</v>
      </c>
      <c r="B82" s="17">
        <v>2373.42</v>
      </c>
      <c r="C82">
        <v>2653</v>
      </c>
      <c r="D82" s="3">
        <v>2541.73</v>
      </c>
      <c r="E82" s="3">
        <f t="shared" si="6"/>
        <v>2301.73</v>
      </c>
      <c r="F82">
        <v>2653</v>
      </c>
      <c r="G82" s="3">
        <f t="shared" si="7"/>
        <v>2477.3649999999998</v>
      </c>
      <c r="H82" s="3">
        <f t="shared" si="8"/>
        <v>2473.3649999999998</v>
      </c>
    </row>
    <row r="83" spans="1:8" x14ac:dyDescent="0.25">
      <c r="A83" s="3">
        <v>2285</v>
      </c>
      <c r="B83" s="17">
        <v>2430.4699999999998</v>
      </c>
      <c r="C83">
        <v>2707</v>
      </c>
      <c r="D83" s="3">
        <v>2578.6</v>
      </c>
      <c r="E83" s="3">
        <f t="shared" si="6"/>
        <v>2338.6</v>
      </c>
      <c r="F83">
        <v>2707</v>
      </c>
      <c r="G83" s="3">
        <f t="shared" si="7"/>
        <v>2522.8000000000002</v>
      </c>
      <c r="H83" s="3">
        <f t="shared" si="8"/>
        <v>2518.8000000000002</v>
      </c>
    </row>
    <row r="84" spans="1:8" x14ac:dyDescent="0.25">
      <c r="A84" s="3">
        <v>2288</v>
      </c>
      <c r="B84" s="17">
        <v>2452.23</v>
      </c>
      <c r="C84">
        <v>2732</v>
      </c>
      <c r="D84" s="3">
        <v>2573.6</v>
      </c>
      <c r="E84" s="3">
        <f t="shared" si="6"/>
        <v>2333.6</v>
      </c>
      <c r="F84">
        <v>2732</v>
      </c>
      <c r="G84" s="3">
        <f t="shared" si="7"/>
        <v>2532.8000000000002</v>
      </c>
      <c r="H84" s="3">
        <f t="shared" si="8"/>
        <v>2528.8000000000002</v>
      </c>
    </row>
    <row r="85" spans="1:8" x14ac:dyDescent="0.25">
      <c r="A85" s="3">
        <v>2284</v>
      </c>
      <c r="B85" s="17">
        <v>2416.27</v>
      </c>
      <c r="C85">
        <v>2711</v>
      </c>
      <c r="D85" s="3">
        <v>2602.91</v>
      </c>
      <c r="E85" s="3">
        <f t="shared" si="6"/>
        <v>2362.91</v>
      </c>
      <c r="F85">
        <v>2711</v>
      </c>
      <c r="G85" s="3">
        <f t="shared" si="7"/>
        <v>2536.9549999999999</v>
      </c>
      <c r="H85" s="3">
        <f t="shared" si="8"/>
        <v>2532.9549999999999</v>
      </c>
    </row>
    <row r="86" spans="1:8" x14ac:dyDescent="0.25">
      <c r="A86" s="3">
        <v>2290</v>
      </c>
      <c r="B86" s="17">
        <v>2433.75</v>
      </c>
      <c r="C86">
        <v>2729</v>
      </c>
      <c r="D86" s="3">
        <v>2581.54</v>
      </c>
      <c r="E86" s="3">
        <f t="shared" si="6"/>
        <v>2341.54</v>
      </c>
      <c r="F86">
        <v>2729</v>
      </c>
      <c r="G86" s="3">
        <f t="shared" si="7"/>
        <v>2535.27</v>
      </c>
      <c r="H86" s="3">
        <f t="shared" si="8"/>
        <v>2531.27</v>
      </c>
    </row>
    <row r="87" spans="1:8" x14ac:dyDescent="0.25">
      <c r="A87" s="3">
        <v>2297</v>
      </c>
      <c r="B87" s="17">
        <v>2453</v>
      </c>
      <c r="C87">
        <v>2749</v>
      </c>
      <c r="D87" s="3">
        <v>2574.0100000000002</v>
      </c>
      <c r="E87" s="3">
        <f t="shared" si="6"/>
        <v>2334.0100000000002</v>
      </c>
      <c r="F87">
        <v>2749</v>
      </c>
      <c r="G87" s="3">
        <f t="shared" si="7"/>
        <v>2541.5050000000001</v>
      </c>
      <c r="H87" s="3">
        <f t="shared" si="8"/>
        <v>2537.5050000000001</v>
      </c>
    </row>
    <row r="88" spans="1:8" x14ac:dyDescent="0.25">
      <c r="A88" s="3">
        <v>2314</v>
      </c>
      <c r="B88" s="17">
        <v>2424</v>
      </c>
      <c r="C88">
        <v>2731</v>
      </c>
      <c r="D88" s="3">
        <v>2557.46</v>
      </c>
      <c r="E88" s="3">
        <f t="shared" si="6"/>
        <v>2317.46</v>
      </c>
      <c r="F88">
        <v>2731</v>
      </c>
      <c r="G88" s="3">
        <f t="shared" si="7"/>
        <v>2524.23</v>
      </c>
      <c r="H88" s="3">
        <f t="shared" si="8"/>
        <v>2520.23</v>
      </c>
    </row>
    <row r="89" spans="1:8" x14ac:dyDescent="0.25">
      <c r="A89" s="8">
        <v>2315</v>
      </c>
      <c r="B89" s="17">
        <v>2411.56</v>
      </c>
      <c r="C89">
        <v>2725</v>
      </c>
      <c r="D89" s="3">
        <v>2603</v>
      </c>
      <c r="E89" s="3">
        <f t="shared" si="6"/>
        <v>2363</v>
      </c>
      <c r="F89" s="6">
        <v>2725</v>
      </c>
      <c r="G89" s="3">
        <f t="shared" si="7"/>
        <v>2544</v>
      </c>
      <c r="H89" s="3">
        <f t="shared" si="8"/>
        <v>2540</v>
      </c>
    </row>
    <row r="90" spans="1:8" x14ac:dyDescent="0.25">
      <c r="A90" s="3">
        <v>2315</v>
      </c>
      <c r="B90" s="17">
        <v>2404.66</v>
      </c>
      <c r="C90">
        <v>2723</v>
      </c>
      <c r="D90" s="3">
        <v>2582</v>
      </c>
      <c r="E90" s="3">
        <f t="shared" si="6"/>
        <v>2342</v>
      </c>
      <c r="F90">
        <v>2723</v>
      </c>
      <c r="G90" s="3">
        <f t="shared" si="7"/>
        <v>2532.5</v>
      </c>
      <c r="H90" s="3">
        <f t="shared" si="8"/>
        <v>2528.5</v>
      </c>
    </row>
    <row r="91" spans="1:8" x14ac:dyDescent="0.25">
      <c r="A91" s="3">
        <v>2319</v>
      </c>
      <c r="B91" s="17">
        <v>2401.11</v>
      </c>
      <c r="C91">
        <v>2723</v>
      </c>
      <c r="D91" s="3">
        <v>2583</v>
      </c>
      <c r="E91" s="3">
        <f t="shared" si="6"/>
        <v>2343</v>
      </c>
      <c r="F91">
        <v>2723</v>
      </c>
      <c r="G91" s="3">
        <f t="shared" si="7"/>
        <v>2533</v>
      </c>
      <c r="H91" s="3">
        <f t="shared" si="8"/>
        <v>2529</v>
      </c>
    </row>
    <row r="92" spans="1:8" x14ac:dyDescent="0.25">
      <c r="A92" s="3">
        <v>2322</v>
      </c>
      <c r="B92" s="17">
        <v>2411.96</v>
      </c>
      <c r="C92">
        <v>2734</v>
      </c>
      <c r="D92" s="3">
        <v>2647</v>
      </c>
      <c r="E92" s="3">
        <f t="shared" si="6"/>
        <v>2407</v>
      </c>
      <c r="F92">
        <v>2734</v>
      </c>
      <c r="G92" s="3">
        <f t="shared" si="7"/>
        <v>2570.5</v>
      </c>
      <c r="H92" s="3">
        <f t="shared" si="8"/>
        <v>2566.5</v>
      </c>
    </row>
    <row r="93" spans="1:8" x14ac:dyDescent="0.25">
      <c r="A93" s="3">
        <v>2334</v>
      </c>
      <c r="B93" s="17">
        <v>2401.23</v>
      </c>
      <c r="C93">
        <v>2728</v>
      </c>
      <c r="D93" s="3">
        <v>2667</v>
      </c>
      <c r="E93" s="3">
        <f t="shared" si="6"/>
        <v>2427</v>
      </c>
      <c r="F93">
        <v>2728</v>
      </c>
      <c r="G93" s="3">
        <f t="shared" si="7"/>
        <v>2577.5</v>
      </c>
      <c r="H93" s="3">
        <f t="shared" si="8"/>
        <v>2573.5</v>
      </c>
    </row>
    <row r="94" spans="1:8" x14ac:dyDescent="0.25">
      <c r="A94" s="3">
        <v>2332</v>
      </c>
      <c r="B94" s="17">
        <v>2406.7199999999998</v>
      </c>
      <c r="C94">
        <v>2733</v>
      </c>
      <c r="D94" s="3">
        <v>2700</v>
      </c>
      <c r="E94" s="3">
        <f t="shared" si="6"/>
        <v>2460</v>
      </c>
      <c r="F94">
        <v>2733</v>
      </c>
      <c r="G94" s="3">
        <f t="shared" si="7"/>
        <v>2596.5</v>
      </c>
      <c r="H94" s="3">
        <f t="shared" si="8"/>
        <v>2592.5</v>
      </c>
    </row>
    <row r="95" spans="1:8" x14ac:dyDescent="0.25">
      <c r="A95" s="3">
        <v>2309</v>
      </c>
      <c r="B95" s="17">
        <v>2406.27</v>
      </c>
      <c r="C95">
        <v>2734</v>
      </c>
      <c r="D95" s="3">
        <v>2696</v>
      </c>
      <c r="E95" s="3">
        <f t="shared" si="6"/>
        <v>2456</v>
      </c>
      <c r="F95">
        <v>2734</v>
      </c>
      <c r="G95" s="3">
        <f t="shared" si="7"/>
        <v>2595</v>
      </c>
      <c r="H95" s="3">
        <f t="shared" si="8"/>
        <v>2591</v>
      </c>
    </row>
    <row r="96" spans="1:8" x14ac:dyDescent="0.25">
      <c r="A96" s="3">
        <v>2318</v>
      </c>
      <c r="B96" s="17">
        <v>2400.4</v>
      </c>
      <c r="C96">
        <v>2730</v>
      </c>
      <c r="D96" s="3">
        <v>2679</v>
      </c>
      <c r="E96" s="3">
        <f t="shared" si="6"/>
        <v>2439</v>
      </c>
      <c r="F96">
        <v>2730</v>
      </c>
      <c r="G96" s="3">
        <f t="shared" si="7"/>
        <v>2584.5</v>
      </c>
      <c r="H96" s="3">
        <f t="shared" si="8"/>
        <v>2580.5</v>
      </c>
    </row>
    <row r="97" spans="1:8" x14ac:dyDescent="0.25">
      <c r="A97" s="3">
        <v>2310</v>
      </c>
      <c r="B97" s="17">
        <v>2390.36</v>
      </c>
      <c r="C97">
        <v>2721</v>
      </c>
      <c r="D97" s="3">
        <v>2672</v>
      </c>
      <c r="E97" s="3">
        <f t="shared" si="6"/>
        <v>2432</v>
      </c>
      <c r="F97">
        <v>2721</v>
      </c>
      <c r="G97" s="3">
        <f t="shared" si="7"/>
        <v>2576.5</v>
      </c>
      <c r="H97" s="3">
        <f t="shared" si="8"/>
        <v>2572.5</v>
      </c>
    </row>
    <row r="98" spans="1:8" x14ac:dyDescent="0.25">
      <c r="A98" s="14">
        <f t="shared" ref="A98:H98" si="9">AVERAGE(A2:A97)*0.24</f>
        <v>486.92762499999992</v>
      </c>
      <c r="B98" s="14">
        <f t="shared" si="9"/>
        <v>492.78597500000006</v>
      </c>
      <c r="C98" s="14">
        <f t="shared" si="9"/>
        <v>528.94499999999994</v>
      </c>
      <c r="D98" s="14">
        <f t="shared" si="9"/>
        <v>589.02789999999982</v>
      </c>
      <c r="E98" s="14">
        <f t="shared" si="9"/>
        <v>531.42789999999979</v>
      </c>
      <c r="F98" s="14">
        <f t="shared" si="9"/>
        <v>528.94499999999994</v>
      </c>
      <c r="G98" s="14">
        <f t="shared" si="9"/>
        <v>530.18645000000015</v>
      </c>
      <c r="H98" s="14">
        <f t="shared" si="9"/>
        <v>529.22645000000011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>
      <selection activeCell="O26" sqref="O26"/>
    </sheetView>
  </sheetViews>
  <sheetFormatPr defaultRowHeight="15" x14ac:dyDescent="0.25"/>
  <sheetData>
    <row r="1" spans="1:14" x14ac:dyDescent="0.25">
      <c r="A1">
        <v>2560</v>
      </c>
      <c r="B1">
        <v>2540</v>
      </c>
      <c r="C1">
        <v>2588.83</v>
      </c>
      <c r="D1">
        <v>2415.6</v>
      </c>
      <c r="E1">
        <f t="shared" ref="E1:E32" si="0">AVERAGE(A1:D1)</f>
        <v>2526.1075000000001</v>
      </c>
      <c r="F1" s="3">
        <v>2588.83</v>
      </c>
      <c r="G1" s="3">
        <f t="shared" ref="G1:G10" si="1">F1-100</f>
        <v>2488.83</v>
      </c>
      <c r="H1">
        <v>2540</v>
      </c>
      <c r="I1" s="3">
        <f t="shared" ref="I1:I32" si="2">AVERAGE(G1:H1)</f>
        <v>2514.415</v>
      </c>
      <c r="J1">
        <f t="shared" ref="J1:J32" si="3">AVERAGE(H1:I1)</f>
        <v>2527.2075</v>
      </c>
      <c r="K1">
        <f t="shared" ref="K1:K32" si="4">J1-20</f>
        <v>2507.2075</v>
      </c>
      <c r="L1">
        <v>2540</v>
      </c>
      <c r="M1" s="3">
        <f t="shared" ref="M1:M32" si="5">AVERAGE(K1:L1)</f>
        <v>2523.6037500000002</v>
      </c>
      <c r="N1" s="3">
        <f t="shared" ref="N1:N32" si="6">M1-1</f>
        <v>2522.6037500000002</v>
      </c>
    </row>
    <row r="2" spans="1:14" x14ac:dyDescent="0.25">
      <c r="A2">
        <v>2547</v>
      </c>
      <c r="B2">
        <v>2484</v>
      </c>
      <c r="C2">
        <v>2577.25</v>
      </c>
      <c r="D2">
        <v>2354.08</v>
      </c>
      <c r="E2">
        <f t="shared" si="0"/>
        <v>2490.5825</v>
      </c>
      <c r="F2" s="3">
        <v>2577.25</v>
      </c>
      <c r="G2" s="3">
        <f t="shared" si="1"/>
        <v>2477.25</v>
      </c>
      <c r="H2">
        <v>2484</v>
      </c>
      <c r="I2" s="3">
        <f t="shared" si="2"/>
        <v>2480.625</v>
      </c>
      <c r="J2">
        <f t="shared" si="3"/>
        <v>2482.3125</v>
      </c>
      <c r="K2">
        <f t="shared" si="4"/>
        <v>2462.3125</v>
      </c>
      <c r="L2">
        <v>2484</v>
      </c>
      <c r="M2" s="3">
        <f t="shared" si="5"/>
        <v>2473.15625</v>
      </c>
      <c r="N2" s="3">
        <f t="shared" si="6"/>
        <v>2472.15625</v>
      </c>
    </row>
    <row r="3" spans="1:14" x14ac:dyDescent="0.25">
      <c r="A3">
        <v>2509</v>
      </c>
      <c r="B3">
        <v>2441</v>
      </c>
      <c r="C3">
        <v>2507.0100000000002</v>
      </c>
      <c r="D3">
        <v>2276.5300000000002</v>
      </c>
      <c r="E3">
        <f t="shared" si="0"/>
        <v>2433.3850000000002</v>
      </c>
      <c r="F3" s="3">
        <v>2507.0100000000002</v>
      </c>
      <c r="G3" s="3">
        <f t="shared" si="1"/>
        <v>2407.0100000000002</v>
      </c>
      <c r="H3">
        <v>2441</v>
      </c>
      <c r="I3" s="3">
        <f t="shared" si="2"/>
        <v>2424.0050000000001</v>
      </c>
      <c r="J3">
        <f t="shared" si="3"/>
        <v>2432.5025000000001</v>
      </c>
      <c r="K3">
        <f t="shared" si="4"/>
        <v>2412.5025000000001</v>
      </c>
      <c r="L3">
        <v>2441</v>
      </c>
      <c r="M3" s="3">
        <f t="shared" si="5"/>
        <v>2426.7512500000003</v>
      </c>
      <c r="N3" s="3">
        <f t="shared" si="6"/>
        <v>2425.7512500000003</v>
      </c>
    </row>
    <row r="4" spans="1:14" x14ac:dyDescent="0.25">
      <c r="A4">
        <v>2502</v>
      </c>
      <c r="B4">
        <v>2420</v>
      </c>
      <c r="C4">
        <v>2510.23</v>
      </c>
      <c r="D4">
        <v>2285.1999999999998</v>
      </c>
      <c r="E4">
        <f t="shared" si="0"/>
        <v>2429.3575000000001</v>
      </c>
      <c r="F4" s="3">
        <v>2510.23</v>
      </c>
      <c r="G4" s="3">
        <f t="shared" si="1"/>
        <v>2410.23</v>
      </c>
      <c r="H4">
        <v>2420</v>
      </c>
      <c r="I4" s="3">
        <f t="shared" si="2"/>
        <v>2415.1149999999998</v>
      </c>
      <c r="J4">
        <f t="shared" si="3"/>
        <v>2417.5574999999999</v>
      </c>
      <c r="K4">
        <f t="shared" si="4"/>
        <v>2397.5574999999999</v>
      </c>
      <c r="L4">
        <v>2420</v>
      </c>
      <c r="M4" s="3">
        <f t="shared" si="5"/>
        <v>2408.7787499999999</v>
      </c>
      <c r="N4" s="3">
        <f t="shared" si="6"/>
        <v>2407.7787499999999</v>
      </c>
    </row>
    <row r="5" spans="1:14" x14ac:dyDescent="0.25">
      <c r="A5">
        <v>2485</v>
      </c>
      <c r="B5">
        <v>2382</v>
      </c>
      <c r="C5">
        <v>2489.36</v>
      </c>
      <c r="D5">
        <v>2284.14</v>
      </c>
      <c r="E5">
        <f t="shared" si="0"/>
        <v>2410.125</v>
      </c>
      <c r="F5" s="3">
        <v>2489.36</v>
      </c>
      <c r="G5" s="3">
        <f t="shared" si="1"/>
        <v>2389.36</v>
      </c>
      <c r="H5">
        <v>2382</v>
      </c>
      <c r="I5" s="3">
        <f t="shared" si="2"/>
        <v>2385.6800000000003</v>
      </c>
      <c r="J5">
        <f t="shared" si="3"/>
        <v>2383.84</v>
      </c>
      <c r="K5">
        <f t="shared" si="4"/>
        <v>2363.84</v>
      </c>
      <c r="L5">
        <v>2382</v>
      </c>
      <c r="M5" s="3">
        <f t="shared" si="5"/>
        <v>2372.92</v>
      </c>
      <c r="N5" s="3">
        <f t="shared" si="6"/>
        <v>2371.92</v>
      </c>
    </row>
    <row r="6" spans="1:14" x14ac:dyDescent="0.25">
      <c r="A6">
        <v>2444</v>
      </c>
      <c r="B6">
        <v>2360</v>
      </c>
      <c r="C6">
        <v>2445.85</v>
      </c>
      <c r="D6">
        <v>2267.5700000000002</v>
      </c>
      <c r="E6">
        <f t="shared" si="0"/>
        <v>2379.355</v>
      </c>
      <c r="F6" s="3">
        <v>2445.85</v>
      </c>
      <c r="G6" s="3">
        <f t="shared" si="1"/>
        <v>2345.85</v>
      </c>
      <c r="H6">
        <v>2360</v>
      </c>
      <c r="I6" s="3">
        <f t="shared" si="2"/>
        <v>2352.9250000000002</v>
      </c>
      <c r="J6">
        <f t="shared" si="3"/>
        <v>2356.4625000000001</v>
      </c>
      <c r="K6">
        <f t="shared" si="4"/>
        <v>2336.4625000000001</v>
      </c>
      <c r="L6">
        <v>2360</v>
      </c>
      <c r="M6" s="3">
        <f t="shared" si="5"/>
        <v>2348.2312499999998</v>
      </c>
      <c r="N6" s="3">
        <f t="shared" si="6"/>
        <v>2347.2312499999998</v>
      </c>
    </row>
    <row r="7" spans="1:14" x14ac:dyDescent="0.25">
      <c r="A7">
        <v>2441</v>
      </c>
      <c r="B7">
        <v>2334</v>
      </c>
      <c r="C7">
        <v>2424.35</v>
      </c>
      <c r="D7">
        <v>2261.66</v>
      </c>
      <c r="E7">
        <f t="shared" si="0"/>
        <v>2365.2525000000001</v>
      </c>
      <c r="F7" s="3">
        <v>2424.35</v>
      </c>
      <c r="G7" s="3">
        <f t="shared" si="1"/>
        <v>2324.35</v>
      </c>
      <c r="H7">
        <v>2334</v>
      </c>
      <c r="I7" s="3">
        <f t="shared" si="2"/>
        <v>2329.1750000000002</v>
      </c>
      <c r="J7">
        <f t="shared" si="3"/>
        <v>2331.5875000000001</v>
      </c>
      <c r="K7">
        <f t="shared" si="4"/>
        <v>2311.5875000000001</v>
      </c>
      <c r="L7">
        <v>2334</v>
      </c>
      <c r="M7" s="3">
        <f t="shared" si="5"/>
        <v>2322.7937499999998</v>
      </c>
      <c r="N7" s="3">
        <f t="shared" si="6"/>
        <v>2321.7937499999998</v>
      </c>
    </row>
    <row r="8" spans="1:14" x14ac:dyDescent="0.25">
      <c r="A8">
        <v>2452</v>
      </c>
      <c r="B8">
        <v>2291</v>
      </c>
      <c r="C8">
        <v>2441.66</v>
      </c>
      <c r="D8">
        <v>2194.3000000000002</v>
      </c>
      <c r="E8">
        <f t="shared" si="0"/>
        <v>2344.7399999999998</v>
      </c>
      <c r="F8" s="3">
        <v>2441.66</v>
      </c>
      <c r="G8" s="3">
        <f t="shared" si="1"/>
        <v>2341.66</v>
      </c>
      <c r="H8">
        <v>2291</v>
      </c>
      <c r="I8" s="3">
        <f t="shared" si="2"/>
        <v>2316.33</v>
      </c>
      <c r="J8">
        <f t="shared" si="3"/>
        <v>2303.665</v>
      </c>
      <c r="K8">
        <f t="shared" si="4"/>
        <v>2283.665</v>
      </c>
      <c r="L8">
        <v>2291</v>
      </c>
      <c r="M8" s="3">
        <f t="shared" si="5"/>
        <v>2287.3325</v>
      </c>
      <c r="N8" s="3">
        <f t="shared" si="6"/>
        <v>2286.3325</v>
      </c>
    </row>
    <row r="9" spans="1:14" x14ac:dyDescent="0.25">
      <c r="A9">
        <v>2416</v>
      </c>
      <c r="B9">
        <v>2261</v>
      </c>
      <c r="C9">
        <v>2391.13</v>
      </c>
      <c r="D9">
        <v>2228.14</v>
      </c>
      <c r="E9">
        <f t="shared" si="0"/>
        <v>2324.0675000000001</v>
      </c>
      <c r="F9" s="3">
        <v>2391.13</v>
      </c>
      <c r="G9" s="3">
        <f t="shared" si="1"/>
        <v>2291.13</v>
      </c>
      <c r="H9">
        <v>2261</v>
      </c>
      <c r="I9" s="3">
        <f t="shared" si="2"/>
        <v>2276.0650000000001</v>
      </c>
      <c r="J9">
        <f t="shared" si="3"/>
        <v>2268.5325000000003</v>
      </c>
      <c r="K9">
        <f t="shared" si="4"/>
        <v>2248.5325000000003</v>
      </c>
      <c r="L9">
        <v>2261</v>
      </c>
      <c r="M9" s="3">
        <f t="shared" si="5"/>
        <v>2254.7662500000001</v>
      </c>
      <c r="N9" s="3">
        <f t="shared" si="6"/>
        <v>2253.7662500000001</v>
      </c>
    </row>
    <row r="10" spans="1:14" x14ac:dyDescent="0.25">
      <c r="A10">
        <v>2384</v>
      </c>
      <c r="B10">
        <v>2240</v>
      </c>
      <c r="C10">
        <v>2359.06</v>
      </c>
      <c r="D10">
        <v>2204.23</v>
      </c>
      <c r="E10">
        <f t="shared" si="0"/>
        <v>2296.8224999999998</v>
      </c>
      <c r="F10" s="3">
        <v>2359.06</v>
      </c>
      <c r="G10" s="3">
        <f t="shared" si="1"/>
        <v>2259.06</v>
      </c>
      <c r="H10">
        <v>2240</v>
      </c>
      <c r="I10" s="3">
        <f t="shared" si="2"/>
        <v>2249.5299999999997</v>
      </c>
      <c r="J10">
        <f t="shared" si="3"/>
        <v>2244.7649999999999</v>
      </c>
      <c r="K10">
        <f t="shared" si="4"/>
        <v>2224.7649999999999</v>
      </c>
      <c r="L10">
        <v>2240</v>
      </c>
      <c r="M10" s="3">
        <f t="shared" si="5"/>
        <v>2232.3824999999997</v>
      </c>
      <c r="N10" s="3">
        <f t="shared" si="6"/>
        <v>2231.3824999999997</v>
      </c>
    </row>
    <row r="11" spans="1:14" x14ac:dyDescent="0.25">
      <c r="A11">
        <v>2377</v>
      </c>
      <c r="B11">
        <v>2191</v>
      </c>
      <c r="C11">
        <v>2340.89</v>
      </c>
      <c r="D11">
        <v>2186.37</v>
      </c>
      <c r="E11">
        <f t="shared" si="0"/>
        <v>2273.8149999999996</v>
      </c>
      <c r="F11" s="3">
        <v>2340.89</v>
      </c>
      <c r="G11" s="3">
        <f t="shared" ref="G11:G55" si="7">F11-50</f>
        <v>2290.89</v>
      </c>
      <c r="H11">
        <v>2191</v>
      </c>
      <c r="I11" s="3">
        <f t="shared" si="2"/>
        <v>2240.9449999999997</v>
      </c>
      <c r="J11">
        <f t="shared" si="3"/>
        <v>2215.9724999999999</v>
      </c>
      <c r="K11">
        <f t="shared" si="4"/>
        <v>2195.9724999999999</v>
      </c>
      <c r="L11">
        <v>2191</v>
      </c>
      <c r="M11" s="3">
        <f t="shared" si="5"/>
        <v>2193.4862499999999</v>
      </c>
      <c r="N11" s="3">
        <f t="shared" si="6"/>
        <v>2192.4862499999999</v>
      </c>
    </row>
    <row r="12" spans="1:14" x14ac:dyDescent="0.25">
      <c r="A12">
        <v>2376</v>
      </c>
      <c r="B12">
        <v>2188</v>
      </c>
      <c r="C12">
        <v>2317.4299999999998</v>
      </c>
      <c r="D12">
        <v>2182.23</v>
      </c>
      <c r="E12">
        <f t="shared" si="0"/>
        <v>2265.915</v>
      </c>
      <c r="F12" s="3">
        <v>2317.4299999999998</v>
      </c>
      <c r="G12" s="3">
        <f t="shared" si="7"/>
        <v>2267.4299999999998</v>
      </c>
      <c r="H12">
        <v>2188</v>
      </c>
      <c r="I12" s="3">
        <f t="shared" si="2"/>
        <v>2227.7150000000001</v>
      </c>
      <c r="J12">
        <f t="shared" si="3"/>
        <v>2207.8575000000001</v>
      </c>
      <c r="K12">
        <f t="shared" si="4"/>
        <v>2187.8575000000001</v>
      </c>
      <c r="L12">
        <v>2188</v>
      </c>
      <c r="M12" s="3">
        <f t="shared" si="5"/>
        <v>2187.92875</v>
      </c>
      <c r="N12" s="3">
        <f t="shared" si="6"/>
        <v>2186.92875</v>
      </c>
    </row>
    <row r="13" spans="1:14" x14ac:dyDescent="0.25">
      <c r="A13">
        <v>2365</v>
      </c>
      <c r="B13">
        <v>2176</v>
      </c>
      <c r="C13">
        <v>2324.34</v>
      </c>
      <c r="D13">
        <v>2195.16</v>
      </c>
      <c r="E13">
        <f t="shared" si="0"/>
        <v>2265.125</v>
      </c>
      <c r="F13" s="3">
        <v>2324.34</v>
      </c>
      <c r="G13" s="3">
        <f t="shared" si="7"/>
        <v>2274.34</v>
      </c>
      <c r="H13">
        <v>2176</v>
      </c>
      <c r="I13" s="3">
        <f t="shared" si="2"/>
        <v>2225.17</v>
      </c>
      <c r="J13">
        <f t="shared" si="3"/>
        <v>2200.585</v>
      </c>
      <c r="K13">
        <f t="shared" si="4"/>
        <v>2180.585</v>
      </c>
      <c r="L13">
        <v>2176</v>
      </c>
      <c r="M13" s="3">
        <f t="shared" si="5"/>
        <v>2178.2925</v>
      </c>
      <c r="N13" s="3">
        <f t="shared" si="6"/>
        <v>2177.2925</v>
      </c>
    </row>
    <row r="14" spans="1:14" x14ac:dyDescent="0.25">
      <c r="A14">
        <v>2335</v>
      </c>
      <c r="B14">
        <v>2155</v>
      </c>
      <c r="C14">
        <v>2318.0300000000002</v>
      </c>
      <c r="D14">
        <v>2155.92</v>
      </c>
      <c r="E14">
        <f t="shared" si="0"/>
        <v>2240.9875000000002</v>
      </c>
      <c r="F14" s="3">
        <v>2318.0300000000002</v>
      </c>
      <c r="G14" s="3">
        <f t="shared" si="7"/>
        <v>2268.0300000000002</v>
      </c>
      <c r="H14">
        <v>2155</v>
      </c>
      <c r="I14" s="3">
        <f t="shared" si="2"/>
        <v>2211.5150000000003</v>
      </c>
      <c r="J14">
        <f t="shared" si="3"/>
        <v>2183.2575000000002</v>
      </c>
      <c r="K14">
        <f t="shared" si="4"/>
        <v>2163.2575000000002</v>
      </c>
      <c r="L14">
        <v>2155</v>
      </c>
      <c r="M14" s="3">
        <f t="shared" si="5"/>
        <v>2159.1287499999999</v>
      </c>
      <c r="N14" s="3">
        <f t="shared" si="6"/>
        <v>2158.1287499999999</v>
      </c>
    </row>
    <row r="15" spans="1:14" x14ac:dyDescent="0.25">
      <c r="A15">
        <v>2323</v>
      </c>
      <c r="B15">
        <v>2133</v>
      </c>
      <c r="C15">
        <v>2299.31</v>
      </c>
      <c r="D15">
        <v>2154.9299999999998</v>
      </c>
      <c r="E15">
        <f t="shared" si="0"/>
        <v>2227.56</v>
      </c>
      <c r="F15" s="3">
        <v>2299.31</v>
      </c>
      <c r="G15" s="3">
        <f t="shared" si="7"/>
        <v>2249.31</v>
      </c>
      <c r="H15">
        <v>2133</v>
      </c>
      <c r="I15" s="3">
        <f t="shared" si="2"/>
        <v>2191.1549999999997</v>
      </c>
      <c r="J15">
        <f t="shared" si="3"/>
        <v>2162.0774999999999</v>
      </c>
      <c r="K15">
        <f t="shared" si="4"/>
        <v>2142.0774999999999</v>
      </c>
      <c r="L15">
        <v>2133</v>
      </c>
      <c r="M15" s="3">
        <f t="shared" si="5"/>
        <v>2137.5387499999997</v>
      </c>
      <c r="N15" s="3">
        <f t="shared" si="6"/>
        <v>2136.5387499999997</v>
      </c>
    </row>
    <row r="16" spans="1:14" x14ac:dyDescent="0.25">
      <c r="A16">
        <v>2322</v>
      </c>
      <c r="B16">
        <v>2117</v>
      </c>
      <c r="C16">
        <v>2317.9299999999998</v>
      </c>
      <c r="D16">
        <v>2141.6799999999998</v>
      </c>
      <c r="E16">
        <f t="shared" si="0"/>
        <v>2224.6525000000001</v>
      </c>
      <c r="F16" s="3">
        <v>2317.9299999999998</v>
      </c>
      <c r="G16" s="3">
        <f t="shared" si="7"/>
        <v>2267.9299999999998</v>
      </c>
      <c r="H16">
        <v>2117</v>
      </c>
      <c r="I16" s="3">
        <f t="shared" si="2"/>
        <v>2192.4650000000001</v>
      </c>
      <c r="J16">
        <f t="shared" si="3"/>
        <v>2154.7325000000001</v>
      </c>
      <c r="K16">
        <f t="shared" si="4"/>
        <v>2134.7325000000001</v>
      </c>
      <c r="L16">
        <v>2117</v>
      </c>
      <c r="M16" s="3">
        <f t="shared" si="5"/>
        <v>2125.86625</v>
      </c>
      <c r="N16" s="3">
        <f t="shared" si="6"/>
        <v>2124.86625</v>
      </c>
    </row>
    <row r="17" spans="1:15" x14ac:dyDescent="0.25">
      <c r="A17">
        <v>2325</v>
      </c>
      <c r="B17">
        <v>2111</v>
      </c>
      <c r="C17">
        <v>2306.56</v>
      </c>
      <c r="D17">
        <v>2148.66</v>
      </c>
      <c r="E17">
        <f t="shared" si="0"/>
        <v>2222.8049999999998</v>
      </c>
      <c r="F17" s="3">
        <v>2306.56</v>
      </c>
      <c r="G17" s="3">
        <f t="shared" si="7"/>
        <v>2256.56</v>
      </c>
      <c r="H17">
        <v>2111</v>
      </c>
      <c r="I17" s="3">
        <f t="shared" si="2"/>
        <v>2183.7799999999997</v>
      </c>
      <c r="J17">
        <f t="shared" si="3"/>
        <v>2147.39</v>
      </c>
      <c r="K17">
        <f t="shared" si="4"/>
        <v>2127.39</v>
      </c>
      <c r="L17">
        <v>2111</v>
      </c>
      <c r="M17" s="3">
        <f t="shared" si="5"/>
        <v>2119.1949999999997</v>
      </c>
      <c r="N17" s="3">
        <f t="shared" si="6"/>
        <v>2118.1949999999997</v>
      </c>
    </row>
    <row r="18" spans="1:15" x14ac:dyDescent="0.25">
      <c r="A18">
        <v>2319</v>
      </c>
      <c r="B18">
        <v>2103</v>
      </c>
      <c r="C18">
        <v>2307.7199999999998</v>
      </c>
      <c r="D18">
        <v>2121.54</v>
      </c>
      <c r="E18">
        <f t="shared" si="0"/>
        <v>2212.8149999999996</v>
      </c>
      <c r="F18" s="3">
        <v>2307.7199999999998</v>
      </c>
      <c r="G18" s="3">
        <f t="shared" si="7"/>
        <v>2257.7199999999998</v>
      </c>
      <c r="H18">
        <v>2103</v>
      </c>
      <c r="I18" s="3">
        <f t="shared" si="2"/>
        <v>2180.3599999999997</v>
      </c>
      <c r="J18">
        <f t="shared" si="3"/>
        <v>2141.6799999999998</v>
      </c>
      <c r="K18">
        <f t="shared" si="4"/>
        <v>2121.6799999999998</v>
      </c>
      <c r="L18">
        <v>2103</v>
      </c>
      <c r="M18" s="3">
        <f t="shared" si="5"/>
        <v>2112.34</v>
      </c>
      <c r="N18" s="3">
        <f t="shared" si="6"/>
        <v>2111.34</v>
      </c>
    </row>
    <row r="19" spans="1:15" x14ac:dyDescent="0.25">
      <c r="A19">
        <v>2315</v>
      </c>
      <c r="B19">
        <v>2071</v>
      </c>
      <c r="C19">
        <v>2307.6</v>
      </c>
      <c r="D19">
        <v>2104.52</v>
      </c>
      <c r="E19">
        <f t="shared" si="0"/>
        <v>2199.5300000000002</v>
      </c>
      <c r="F19" s="3">
        <v>2307.6</v>
      </c>
      <c r="G19" s="3">
        <f t="shared" si="7"/>
        <v>2257.6</v>
      </c>
      <c r="H19">
        <v>2071</v>
      </c>
      <c r="I19" s="3">
        <f t="shared" si="2"/>
        <v>2164.3000000000002</v>
      </c>
      <c r="J19">
        <f t="shared" si="3"/>
        <v>2117.65</v>
      </c>
      <c r="K19">
        <f t="shared" si="4"/>
        <v>2097.65</v>
      </c>
      <c r="L19">
        <v>2071</v>
      </c>
      <c r="M19" s="3">
        <f t="shared" si="5"/>
        <v>2084.3249999999998</v>
      </c>
      <c r="N19" s="3">
        <f t="shared" si="6"/>
        <v>2083.3249999999998</v>
      </c>
    </row>
    <row r="20" spans="1:15" x14ac:dyDescent="0.25">
      <c r="A20" s="6">
        <v>2283</v>
      </c>
      <c r="B20" s="6">
        <v>2072</v>
      </c>
      <c r="C20" s="6">
        <v>2303.9699999999998</v>
      </c>
      <c r="D20" s="6">
        <v>2109.31</v>
      </c>
      <c r="E20">
        <f t="shared" si="0"/>
        <v>2192.0699999999997</v>
      </c>
      <c r="F20" s="3">
        <v>2303.9699999999998</v>
      </c>
      <c r="G20" s="3">
        <f t="shared" si="7"/>
        <v>2253.9699999999998</v>
      </c>
      <c r="H20" s="6">
        <v>2072</v>
      </c>
      <c r="I20" s="3">
        <f t="shared" si="2"/>
        <v>2162.9849999999997</v>
      </c>
      <c r="J20">
        <f t="shared" si="3"/>
        <v>2117.4924999999998</v>
      </c>
      <c r="K20">
        <f t="shared" si="4"/>
        <v>2097.4924999999998</v>
      </c>
      <c r="L20" s="6">
        <v>2072</v>
      </c>
      <c r="M20" s="3">
        <f t="shared" si="5"/>
        <v>2084.7462500000001</v>
      </c>
      <c r="N20" s="3">
        <f t="shared" si="6"/>
        <v>2083.7462500000001</v>
      </c>
      <c r="O20" s="6"/>
    </row>
    <row r="21" spans="1:15" x14ac:dyDescent="0.25">
      <c r="A21">
        <v>2290</v>
      </c>
      <c r="B21">
        <v>2053</v>
      </c>
      <c r="C21">
        <v>2313.62</v>
      </c>
      <c r="D21">
        <v>2121.0700000000002</v>
      </c>
      <c r="E21">
        <f t="shared" si="0"/>
        <v>2194.4225000000001</v>
      </c>
      <c r="F21" s="3">
        <v>2313.62</v>
      </c>
      <c r="G21" s="3">
        <f t="shared" si="7"/>
        <v>2263.62</v>
      </c>
      <c r="H21">
        <v>2053</v>
      </c>
      <c r="I21" s="3">
        <f t="shared" si="2"/>
        <v>2158.31</v>
      </c>
      <c r="J21">
        <f t="shared" si="3"/>
        <v>2105.6549999999997</v>
      </c>
      <c r="K21">
        <f t="shared" si="4"/>
        <v>2085.6549999999997</v>
      </c>
      <c r="L21">
        <v>2053</v>
      </c>
      <c r="M21" s="3">
        <f t="shared" si="5"/>
        <v>2069.3274999999999</v>
      </c>
      <c r="N21" s="3">
        <f t="shared" si="6"/>
        <v>2068.3274999999999</v>
      </c>
    </row>
    <row r="22" spans="1:15" x14ac:dyDescent="0.25">
      <c r="A22">
        <v>2293</v>
      </c>
      <c r="B22">
        <v>2069</v>
      </c>
      <c r="C22">
        <v>2299.89</v>
      </c>
      <c r="D22">
        <v>2155.48</v>
      </c>
      <c r="E22">
        <f t="shared" si="0"/>
        <v>2204.3424999999997</v>
      </c>
      <c r="F22" s="3">
        <v>2299.89</v>
      </c>
      <c r="G22" s="3">
        <f t="shared" si="7"/>
        <v>2249.89</v>
      </c>
      <c r="H22">
        <v>2069</v>
      </c>
      <c r="I22" s="3">
        <f t="shared" si="2"/>
        <v>2159.4449999999997</v>
      </c>
      <c r="J22">
        <f t="shared" si="3"/>
        <v>2114.2224999999999</v>
      </c>
      <c r="K22">
        <f t="shared" si="4"/>
        <v>2094.2224999999999</v>
      </c>
      <c r="L22">
        <v>2069</v>
      </c>
      <c r="M22" s="3">
        <f t="shared" si="5"/>
        <v>2081.6112499999999</v>
      </c>
      <c r="N22" s="3">
        <f t="shared" si="6"/>
        <v>2080.6112499999999</v>
      </c>
    </row>
    <row r="23" spans="1:15" x14ac:dyDescent="0.25">
      <c r="A23">
        <v>2304</v>
      </c>
      <c r="B23">
        <v>2078</v>
      </c>
      <c r="C23">
        <v>2327.7199999999998</v>
      </c>
      <c r="D23">
        <v>2159.64</v>
      </c>
      <c r="E23">
        <f t="shared" si="0"/>
        <v>2217.3399999999997</v>
      </c>
      <c r="F23" s="3">
        <v>2327.7199999999998</v>
      </c>
      <c r="G23" s="3">
        <f t="shared" si="7"/>
        <v>2277.7199999999998</v>
      </c>
      <c r="H23">
        <v>2078</v>
      </c>
      <c r="I23" s="3">
        <f t="shared" si="2"/>
        <v>2177.8599999999997</v>
      </c>
      <c r="J23">
        <f t="shared" si="3"/>
        <v>2127.9299999999998</v>
      </c>
      <c r="K23">
        <f t="shared" si="4"/>
        <v>2107.9299999999998</v>
      </c>
      <c r="L23">
        <v>2078</v>
      </c>
      <c r="M23" s="3">
        <f t="shared" si="5"/>
        <v>2092.9650000000001</v>
      </c>
      <c r="N23" s="3">
        <f t="shared" si="6"/>
        <v>2091.9650000000001</v>
      </c>
    </row>
    <row r="24" spans="1:15" x14ac:dyDescent="0.25">
      <c r="A24">
        <v>2319</v>
      </c>
      <c r="B24">
        <v>2064</v>
      </c>
      <c r="C24">
        <v>2369.79</v>
      </c>
      <c r="D24">
        <v>2175.08</v>
      </c>
      <c r="E24">
        <f t="shared" si="0"/>
        <v>2231.9674999999997</v>
      </c>
      <c r="F24" s="3">
        <v>2369.79</v>
      </c>
      <c r="G24" s="3">
        <f t="shared" si="7"/>
        <v>2319.79</v>
      </c>
      <c r="H24">
        <v>2064</v>
      </c>
      <c r="I24" s="3">
        <f t="shared" si="2"/>
        <v>2191.895</v>
      </c>
      <c r="J24">
        <f t="shared" si="3"/>
        <v>2127.9475000000002</v>
      </c>
      <c r="K24">
        <f t="shared" si="4"/>
        <v>2107.9475000000002</v>
      </c>
      <c r="L24">
        <v>2064</v>
      </c>
      <c r="M24" s="3">
        <f t="shared" si="5"/>
        <v>2085.9737500000001</v>
      </c>
      <c r="N24" s="3">
        <f t="shared" si="6"/>
        <v>2084.9737500000001</v>
      </c>
    </row>
    <row r="25" spans="1:15" x14ac:dyDescent="0.25">
      <c r="A25">
        <v>2329</v>
      </c>
      <c r="B25">
        <v>2069</v>
      </c>
      <c r="C25">
        <v>2359.06</v>
      </c>
      <c r="D25">
        <v>2184.7600000000002</v>
      </c>
      <c r="E25">
        <f t="shared" si="0"/>
        <v>2235.4549999999999</v>
      </c>
      <c r="F25" s="3">
        <v>2359.06</v>
      </c>
      <c r="G25" s="3">
        <f t="shared" si="7"/>
        <v>2309.06</v>
      </c>
      <c r="H25">
        <v>2069</v>
      </c>
      <c r="I25" s="3">
        <f t="shared" si="2"/>
        <v>2189.0299999999997</v>
      </c>
      <c r="J25">
        <f t="shared" si="3"/>
        <v>2129.0149999999999</v>
      </c>
      <c r="K25">
        <f t="shared" si="4"/>
        <v>2109.0149999999999</v>
      </c>
      <c r="L25">
        <v>2069</v>
      </c>
      <c r="M25" s="3">
        <f t="shared" si="5"/>
        <v>2089.0074999999997</v>
      </c>
      <c r="N25" s="3">
        <f t="shared" si="6"/>
        <v>2088.0074999999997</v>
      </c>
    </row>
    <row r="26" spans="1:15" x14ac:dyDescent="0.25">
      <c r="A26">
        <v>2353</v>
      </c>
      <c r="B26">
        <v>2057</v>
      </c>
      <c r="C26">
        <v>2373.61</v>
      </c>
      <c r="D26">
        <v>2222.11</v>
      </c>
      <c r="E26">
        <f t="shared" si="0"/>
        <v>2251.4300000000003</v>
      </c>
      <c r="F26" s="3">
        <v>2373.61</v>
      </c>
      <c r="G26" s="3">
        <f t="shared" si="7"/>
        <v>2323.61</v>
      </c>
      <c r="H26">
        <v>2057</v>
      </c>
      <c r="I26" s="3">
        <f t="shared" si="2"/>
        <v>2190.3050000000003</v>
      </c>
      <c r="J26">
        <f t="shared" si="3"/>
        <v>2123.6525000000001</v>
      </c>
      <c r="K26">
        <f t="shared" si="4"/>
        <v>2103.6525000000001</v>
      </c>
      <c r="L26">
        <v>2057</v>
      </c>
      <c r="M26" s="3">
        <f t="shared" si="5"/>
        <v>2080.3262500000001</v>
      </c>
      <c r="N26" s="3">
        <f t="shared" si="6"/>
        <v>2079.3262500000001</v>
      </c>
    </row>
    <row r="27" spans="1:15" x14ac:dyDescent="0.25">
      <c r="A27">
        <v>2357</v>
      </c>
      <c r="B27">
        <v>2051</v>
      </c>
      <c r="C27">
        <v>2366.6</v>
      </c>
      <c r="D27">
        <v>2246.5</v>
      </c>
      <c r="E27">
        <f t="shared" si="0"/>
        <v>2255.2750000000001</v>
      </c>
      <c r="F27" s="3">
        <v>2366.6</v>
      </c>
      <c r="G27" s="3">
        <f t="shared" si="7"/>
        <v>2316.6</v>
      </c>
      <c r="H27">
        <v>2051</v>
      </c>
      <c r="I27" s="3">
        <f t="shared" si="2"/>
        <v>2183.8000000000002</v>
      </c>
      <c r="J27">
        <f t="shared" si="3"/>
        <v>2117.4</v>
      </c>
      <c r="K27">
        <f t="shared" si="4"/>
        <v>2097.4</v>
      </c>
      <c r="L27">
        <v>2051</v>
      </c>
      <c r="M27" s="3">
        <f t="shared" si="5"/>
        <v>2074.1999999999998</v>
      </c>
      <c r="N27" s="3">
        <f t="shared" si="6"/>
        <v>2073.1999999999998</v>
      </c>
    </row>
    <row r="28" spans="1:15" x14ac:dyDescent="0.25">
      <c r="A28">
        <v>2326</v>
      </c>
      <c r="B28">
        <v>2086</v>
      </c>
      <c r="C28">
        <v>2342.54</v>
      </c>
      <c r="D28">
        <v>2298.66</v>
      </c>
      <c r="E28">
        <f t="shared" si="0"/>
        <v>2263.3000000000002</v>
      </c>
      <c r="F28" s="3">
        <v>2342.54</v>
      </c>
      <c r="G28" s="3">
        <f t="shared" si="7"/>
        <v>2292.54</v>
      </c>
      <c r="H28">
        <v>2086</v>
      </c>
      <c r="I28" s="3">
        <f t="shared" si="2"/>
        <v>2189.27</v>
      </c>
      <c r="J28">
        <f t="shared" si="3"/>
        <v>2137.6350000000002</v>
      </c>
      <c r="K28">
        <f t="shared" si="4"/>
        <v>2117.6350000000002</v>
      </c>
      <c r="L28">
        <v>2086</v>
      </c>
      <c r="M28" s="3">
        <f t="shared" si="5"/>
        <v>2101.8175000000001</v>
      </c>
      <c r="N28" s="3">
        <f t="shared" si="6"/>
        <v>2100.8175000000001</v>
      </c>
    </row>
    <row r="29" spans="1:15" x14ac:dyDescent="0.25">
      <c r="A29">
        <v>2332</v>
      </c>
      <c r="B29">
        <v>2079</v>
      </c>
      <c r="C29">
        <v>2392.56</v>
      </c>
      <c r="D29">
        <v>2316.27</v>
      </c>
      <c r="E29">
        <f t="shared" si="0"/>
        <v>2279.9575</v>
      </c>
      <c r="F29" s="3">
        <v>2392.56</v>
      </c>
      <c r="G29" s="3">
        <f t="shared" si="7"/>
        <v>2342.56</v>
      </c>
      <c r="H29">
        <v>2079</v>
      </c>
      <c r="I29" s="3">
        <f t="shared" si="2"/>
        <v>2210.7799999999997</v>
      </c>
      <c r="J29">
        <f t="shared" si="3"/>
        <v>2144.89</v>
      </c>
      <c r="K29">
        <f t="shared" si="4"/>
        <v>2124.89</v>
      </c>
      <c r="L29">
        <v>2079</v>
      </c>
      <c r="M29" s="3">
        <f t="shared" si="5"/>
        <v>2101.9449999999997</v>
      </c>
      <c r="N29" s="3">
        <f t="shared" si="6"/>
        <v>2100.9449999999997</v>
      </c>
    </row>
    <row r="30" spans="1:15" x14ac:dyDescent="0.25">
      <c r="A30">
        <v>2359</v>
      </c>
      <c r="B30">
        <v>2083</v>
      </c>
      <c r="C30">
        <v>2391.52</v>
      </c>
      <c r="D30">
        <v>2313.25</v>
      </c>
      <c r="E30">
        <f t="shared" si="0"/>
        <v>2286.6925000000001</v>
      </c>
      <c r="F30" s="3">
        <v>2391.52</v>
      </c>
      <c r="G30" s="3">
        <f t="shared" si="7"/>
        <v>2341.52</v>
      </c>
      <c r="H30">
        <v>2083</v>
      </c>
      <c r="I30" s="3">
        <f t="shared" si="2"/>
        <v>2212.2600000000002</v>
      </c>
      <c r="J30">
        <f t="shared" si="3"/>
        <v>2147.63</v>
      </c>
      <c r="K30">
        <f t="shared" si="4"/>
        <v>2127.63</v>
      </c>
      <c r="L30">
        <v>2083</v>
      </c>
      <c r="M30" s="3">
        <f t="shared" si="5"/>
        <v>2105.3150000000001</v>
      </c>
      <c r="N30" s="3">
        <f t="shared" si="6"/>
        <v>2104.3150000000001</v>
      </c>
    </row>
    <row r="31" spans="1:15" x14ac:dyDescent="0.25">
      <c r="A31">
        <v>2401</v>
      </c>
      <c r="B31">
        <v>2094</v>
      </c>
      <c r="C31">
        <v>2404.9299999999998</v>
      </c>
      <c r="D31">
        <v>2307.15</v>
      </c>
      <c r="E31">
        <f t="shared" si="0"/>
        <v>2301.77</v>
      </c>
      <c r="F31" s="3">
        <v>2404.9299999999998</v>
      </c>
      <c r="G31" s="3">
        <f t="shared" si="7"/>
        <v>2354.9299999999998</v>
      </c>
      <c r="H31">
        <v>2094</v>
      </c>
      <c r="I31" s="3">
        <f t="shared" si="2"/>
        <v>2224.4650000000001</v>
      </c>
      <c r="J31">
        <f t="shared" si="3"/>
        <v>2159.2325000000001</v>
      </c>
      <c r="K31">
        <f t="shared" si="4"/>
        <v>2139.2325000000001</v>
      </c>
      <c r="L31">
        <v>2094</v>
      </c>
      <c r="M31" s="3">
        <f t="shared" si="5"/>
        <v>2116.61625</v>
      </c>
      <c r="N31" s="3">
        <f t="shared" si="6"/>
        <v>2115.61625</v>
      </c>
    </row>
    <row r="32" spans="1:15" x14ac:dyDescent="0.25">
      <c r="A32">
        <v>2404</v>
      </c>
      <c r="B32">
        <v>2113</v>
      </c>
      <c r="C32">
        <v>2397.8000000000002</v>
      </c>
      <c r="D32">
        <v>2309.9499999999998</v>
      </c>
      <c r="E32">
        <f t="shared" si="0"/>
        <v>2306.1875</v>
      </c>
      <c r="F32" s="3">
        <v>2397.8000000000002</v>
      </c>
      <c r="G32" s="3">
        <f t="shared" si="7"/>
        <v>2347.8000000000002</v>
      </c>
      <c r="H32">
        <v>2113</v>
      </c>
      <c r="I32" s="3">
        <f t="shared" si="2"/>
        <v>2230.4</v>
      </c>
      <c r="J32">
        <f t="shared" si="3"/>
        <v>2171.6999999999998</v>
      </c>
      <c r="K32">
        <f t="shared" si="4"/>
        <v>2151.6999999999998</v>
      </c>
      <c r="L32">
        <v>2113</v>
      </c>
      <c r="M32" s="3">
        <f t="shared" si="5"/>
        <v>2132.35</v>
      </c>
      <c r="N32" s="3">
        <f t="shared" si="6"/>
        <v>2131.35</v>
      </c>
    </row>
    <row r="33" spans="1:15" x14ac:dyDescent="0.25">
      <c r="A33" s="7">
        <v>2415</v>
      </c>
      <c r="B33" s="7">
        <v>2069</v>
      </c>
      <c r="C33" s="7">
        <v>2427.15</v>
      </c>
      <c r="D33" s="7">
        <v>2287.46</v>
      </c>
      <c r="E33">
        <f t="shared" ref="E33:E64" si="8">AVERAGE(A33:D33)</f>
        <v>2299.6525000000001</v>
      </c>
      <c r="F33" s="3">
        <v>2427.15</v>
      </c>
      <c r="G33" s="3">
        <f t="shared" si="7"/>
        <v>2377.15</v>
      </c>
      <c r="H33" s="7">
        <v>2069</v>
      </c>
      <c r="I33" s="3">
        <f t="shared" ref="I33:I64" si="9">AVERAGE(G33:H33)</f>
        <v>2223.0749999999998</v>
      </c>
      <c r="J33">
        <f t="shared" ref="J33:J64" si="10">AVERAGE(H33:I33)</f>
        <v>2146.0374999999999</v>
      </c>
      <c r="K33">
        <f t="shared" ref="K33:K64" si="11">J33-20</f>
        <v>2126.0374999999999</v>
      </c>
      <c r="L33" s="7">
        <v>2069</v>
      </c>
      <c r="M33" s="3">
        <f t="shared" ref="M33:M64" si="12">AVERAGE(K33:L33)</f>
        <v>2097.5187500000002</v>
      </c>
      <c r="N33" s="3">
        <f t="shared" ref="N33:N64" si="13">M33-1</f>
        <v>2096.5187500000002</v>
      </c>
      <c r="O33" s="7"/>
    </row>
    <row r="34" spans="1:15" x14ac:dyDescent="0.25">
      <c r="A34">
        <v>2410</v>
      </c>
      <c r="B34">
        <v>2059</v>
      </c>
      <c r="C34">
        <v>2381.02</v>
      </c>
      <c r="E34">
        <f t="shared" si="8"/>
        <v>2283.34</v>
      </c>
      <c r="F34" s="3">
        <v>2381.02</v>
      </c>
      <c r="G34" s="3">
        <f t="shared" si="7"/>
        <v>2331.02</v>
      </c>
      <c r="H34">
        <v>2059</v>
      </c>
      <c r="I34" s="3">
        <f t="shared" si="9"/>
        <v>2195.0100000000002</v>
      </c>
      <c r="J34">
        <f t="shared" si="10"/>
        <v>2127.0050000000001</v>
      </c>
      <c r="K34">
        <f t="shared" si="11"/>
        <v>2107.0050000000001</v>
      </c>
      <c r="L34">
        <v>2059</v>
      </c>
      <c r="M34" s="3">
        <f t="shared" si="12"/>
        <v>2083.0025000000001</v>
      </c>
      <c r="N34" s="3">
        <f t="shared" si="13"/>
        <v>2082.0025000000001</v>
      </c>
    </row>
    <row r="35" spans="1:15" x14ac:dyDescent="0.25">
      <c r="A35">
        <v>2398</v>
      </c>
      <c r="B35">
        <v>2089</v>
      </c>
      <c r="C35">
        <v>2377.36</v>
      </c>
      <c r="E35">
        <f t="shared" si="8"/>
        <v>2288.1200000000003</v>
      </c>
      <c r="F35" s="3">
        <v>2377.36</v>
      </c>
      <c r="G35" s="3">
        <f t="shared" si="7"/>
        <v>2327.36</v>
      </c>
      <c r="H35">
        <v>2089</v>
      </c>
      <c r="I35" s="3">
        <f t="shared" si="9"/>
        <v>2208.1800000000003</v>
      </c>
      <c r="J35">
        <f t="shared" si="10"/>
        <v>2148.59</v>
      </c>
      <c r="K35">
        <f t="shared" si="11"/>
        <v>2128.59</v>
      </c>
      <c r="L35">
        <v>2089</v>
      </c>
      <c r="M35" s="3">
        <f t="shared" si="12"/>
        <v>2108.7950000000001</v>
      </c>
      <c r="N35" s="3">
        <f t="shared" si="13"/>
        <v>2107.7950000000001</v>
      </c>
    </row>
    <row r="36" spans="1:15" x14ac:dyDescent="0.25">
      <c r="A36">
        <v>2396</v>
      </c>
      <c r="B36">
        <v>2085</v>
      </c>
      <c r="C36">
        <v>2383.11</v>
      </c>
      <c r="E36">
        <f t="shared" si="8"/>
        <v>2288.0366666666669</v>
      </c>
      <c r="F36" s="3">
        <v>2383.11</v>
      </c>
      <c r="G36" s="3">
        <f t="shared" si="7"/>
        <v>2333.11</v>
      </c>
      <c r="H36">
        <v>2085</v>
      </c>
      <c r="I36" s="3">
        <f t="shared" si="9"/>
        <v>2209.0550000000003</v>
      </c>
      <c r="J36">
        <f t="shared" si="10"/>
        <v>2147.0275000000001</v>
      </c>
      <c r="K36">
        <f t="shared" si="11"/>
        <v>2127.0275000000001</v>
      </c>
      <c r="L36">
        <v>2085</v>
      </c>
      <c r="M36" s="3">
        <f t="shared" si="12"/>
        <v>2106.0137500000001</v>
      </c>
      <c r="N36" s="3">
        <f t="shared" si="13"/>
        <v>2105.0137500000001</v>
      </c>
    </row>
    <row r="37" spans="1:15" x14ac:dyDescent="0.25">
      <c r="A37">
        <v>2377</v>
      </c>
      <c r="B37">
        <v>2030</v>
      </c>
      <c r="C37">
        <v>2386.52</v>
      </c>
      <c r="E37">
        <f t="shared" si="8"/>
        <v>2264.5066666666667</v>
      </c>
      <c r="F37" s="3">
        <v>2386.52</v>
      </c>
      <c r="G37" s="3">
        <f t="shared" si="7"/>
        <v>2336.52</v>
      </c>
      <c r="H37">
        <v>2030</v>
      </c>
      <c r="I37" s="3">
        <f t="shared" si="9"/>
        <v>2183.2600000000002</v>
      </c>
      <c r="J37">
        <f t="shared" si="10"/>
        <v>2106.63</v>
      </c>
      <c r="K37">
        <f t="shared" si="11"/>
        <v>2086.63</v>
      </c>
      <c r="L37">
        <v>2030</v>
      </c>
      <c r="M37" s="3">
        <f t="shared" si="12"/>
        <v>2058.3150000000001</v>
      </c>
      <c r="N37" s="3">
        <f t="shared" si="13"/>
        <v>2057.3150000000001</v>
      </c>
    </row>
    <row r="38" spans="1:15" x14ac:dyDescent="0.25">
      <c r="A38">
        <v>2359</v>
      </c>
      <c r="B38">
        <v>1986</v>
      </c>
      <c r="C38">
        <v>2328.7399999999998</v>
      </c>
      <c r="E38">
        <f t="shared" si="8"/>
        <v>2224.58</v>
      </c>
      <c r="F38" s="3">
        <v>2328.7399999999998</v>
      </c>
      <c r="G38" s="3">
        <f t="shared" si="7"/>
        <v>2278.7399999999998</v>
      </c>
      <c r="H38">
        <v>1986</v>
      </c>
      <c r="I38" s="3">
        <f t="shared" si="9"/>
        <v>2132.37</v>
      </c>
      <c r="J38">
        <f t="shared" si="10"/>
        <v>2059.1849999999999</v>
      </c>
      <c r="K38">
        <f t="shared" si="11"/>
        <v>2039.1849999999999</v>
      </c>
      <c r="L38">
        <v>1986</v>
      </c>
      <c r="M38" s="3">
        <f t="shared" si="12"/>
        <v>2012.5925</v>
      </c>
      <c r="N38" s="3">
        <f t="shared" si="13"/>
        <v>2011.5925</v>
      </c>
    </row>
    <row r="39" spans="1:15" x14ac:dyDescent="0.25">
      <c r="A39">
        <v>2344</v>
      </c>
      <c r="B39">
        <v>1998</v>
      </c>
      <c r="C39">
        <v>2284.67</v>
      </c>
      <c r="E39">
        <f t="shared" si="8"/>
        <v>2208.89</v>
      </c>
      <c r="F39" s="3">
        <v>2284.67</v>
      </c>
      <c r="G39" s="3">
        <f t="shared" si="7"/>
        <v>2234.67</v>
      </c>
      <c r="H39">
        <v>1998</v>
      </c>
      <c r="I39" s="3">
        <f t="shared" si="9"/>
        <v>2116.335</v>
      </c>
      <c r="J39">
        <f t="shared" si="10"/>
        <v>2057.1675</v>
      </c>
      <c r="K39">
        <f t="shared" si="11"/>
        <v>2037.1675</v>
      </c>
      <c r="L39">
        <v>1998</v>
      </c>
      <c r="M39" s="3">
        <f t="shared" si="12"/>
        <v>2017.58375</v>
      </c>
      <c r="N39" s="3">
        <f t="shared" si="13"/>
        <v>2016.58375</v>
      </c>
    </row>
    <row r="40" spans="1:15" x14ac:dyDescent="0.25">
      <c r="A40">
        <v>2334</v>
      </c>
      <c r="B40">
        <v>2020</v>
      </c>
      <c r="C40">
        <v>2298.6</v>
      </c>
      <c r="E40">
        <f t="shared" si="8"/>
        <v>2217.5333333333333</v>
      </c>
      <c r="F40" s="3">
        <v>2298.6</v>
      </c>
      <c r="G40" s="3">
        <f t="shared" si="7"/>
        <v>2248.6</v>
      </c>
      <c r="H40">
        <v>2020</v>
      </c>
      <c r="I40" s="3">
        <f t="shared" si="9"/>
        <v>2134.3000000000002</v>
      </c>
      <c r="J40">
        <f t="shared" si="10"/>
        <v>2077.15</v>
      </c>
      <c r="K40">
        <f t="shared" si="11"/>
        <v>2057.15</v>
      </c>
      <c r="L40">
        <v>2020</v>
      </c>
      <c r="M40" s="3">
        <f t="shared" si="12"/>
        <v>2038.575</v>
      </c>
      <c r="N40" s="3">
        <f t="shared" si="13"/>
        <v>2037.575</v>
      </c>
    </row>
    <row r="41" spans="1:15" x14ac:dyDescent="0.25">
      <c r="A41" s="6">
        <v>2315</v>
      </c>
      <c r="B41" s="6">
        <v>2040</v>
      </c>
      <c r="C41" s="6">
        <v>2330.86</v>
      </c>
      <c r="D41" s="6"/>
      <c r="E41">
        <f t="shared" si="8"/>
        <v>2228.6200000000003</v>
      </c>
      <c r="F41" s="3">
        <v>2330.86</v>
      </c>
      <c r="G41" s="3">
        <f t="shared" si="7"/>
        <v>2280.86</v>
      </c>
      <c r="H41" s="6">
        <v>2040</v>
      </c>
      <c r="I41" s="3">
        <f t="shared" si="9"/>
        <v>2160.4300000000003</v>
      </c>
      <c r="J41">
        <f t="shared" si="10"/>
        <v>2100.2150000000001</v>
      </c>
      <c r="K41">
        <f t="shared" si="11"/>
        <v>2080.2150000000001</v>
      </c>
      <c r="L41" s="6">
        <v>2040</v>
      </c>
      <c r="M41" s="3">
        <f t="shared" si="12"/>
        <v>2060.1075000000001</v>
      </c>
      <c r="N41" s="3">
        <f t="shared" si="13"/>
        <v>2059.1075000000001</v>
      </c>
      <c r="O41" s="6"/>
    </row>
    <row r="42" spans="1:15" x14ac:dyDescent="0.25">
      <c r="A42">
        <v>2280</v>
      </c>
      <c r="B42">
        <v>1993</v>
      </c>
      <c r="C42">
        <v>2358.58</v>
      </c>
      <c r="E42">
        <f t="shared" si="8"/>
        <v>2210.5266666666666</v>
      </c>
      <c r="F42" s="3">
        <v>2358.58</v>
      </c>
      <c r="G42" s="3">
        <f t="shared" si="7"/>
        <v>2308.58</v>
      </c>
      <c r="H42">
        <v>1993</v>
      </c>
      <c r="I42" s="3">
        <f t="shared" si="9"/>
        <v>2150.79</v>
      </c>
      <c r="J42">
        <f t="shared" si="10"/>
        <v>2071.895</v>
      </c>
      <c r="K42">
        <f t="shared" si="11"/>
        <v>2051.895</v>
      </c>
      <c r="L42">
        <v>1993</v>
      </c>
      <c r="M42" s="3">
        <f t="shared" si="12"/>
        <v>2022.4475</v>
      </c>
      <c r="N42" s="3">
        <f t="shared" si="13"/>
        <v>2021.4475</v>
      </c>
    </row>
    <row r="43" spans="1:15" x14ac:dyDescent="0.25">
      <c r="A43">
        <v>2264</v>
      </c>
      <c r="B43">
        <v>1977</v>
      </c>
      <c r="C43">
        <v>2308.81</v>
      </c>
      <c r="E43">
        <f t="shared" si="8"/>
        <v>2183.27</v>
      </c>
      <c r="F43" s="3">
        <v>2308.81</v>
      </c>
      <c r="G43" s="3">
        <f t="shared" si="7"/>
        <v>2258.81</v>
      </c>
      <c r="H43">
        <v>1977</v>
      </c>
      <c r="I43" s="3">
        <f t="shared" si="9"/>
        <v>2117.9049999999997</v>
      </c>
      <c r="J43">
        <f t="shared" si="10"/>
        <v>2047.4524999999999</v>
      </c>
      <c r="K43">
        <f t="shared" si="11"/>
        <v>2027.4524999999999</v>
      </c>
      <c r="L43">
        <v>1977</v>
      </c>
      <c r="M43" s="3">
        <f t="shared" si="12"/>
        <v>2002.2262499999999</v>
      </c>
      <c r="N43" s="3">
        <f t="shared" si="13"/>
        <v>2001.2262499999999</v>
      </c>
    </row>
    <row r="44" spans="1:15" x14ac:dyDescent="0.25">
      <c r="A44">
        <v>2259</v>
      </c>
      <c r="B44">
        <v>1969</v>
      </c>
      <c r="C44">
        <v>2283.16</v>
      </c>
      <c r="E44">
        <f t="shared" si="8"/>
        <v>2170.3866666666668</v>
      </c>
      <c r="F44" s="3">
        <v>2283.16</v>
      </c>
      <c r="G44" s="3">
        <f t="shared" si="7"/>
        <v>2233.16</v>
      </c>
      <c r="H44">
        <v>1969</v>
      </c>
      <c r="I44" s="3">
        <f t="shared" si="9"/>
        <v>2101.08</v>
      </c>
      <c r="J44">
        <f t="shared" si="10"/>
        <v>2035.04</v>
      </c>
      <c r="K44">
        <f t="shared" si="11"/>
        <v>2015.04</v>
      </c>
      <c r="L44">
        <v>1969</v>
      </c>
      <c r="M44" s="3">
        <f t="shared" si="12"/>
        <v>1992.02</v>
      </c>
      <c r="N44" s="3">
        <f t="shared" si="13"/>
        <v>1991.02</v>
      </c>
    </row>
    <row r="45" spans="1:15" x14ac:dyDescent="0.25">
      <c r="A45">
        <v>2256</v>
      </c>
      <c r="B45">
        <v>1948</v>
      </c>
      <c r="C45">
        <v>2274.3200000000002</v>
      </c>
      <c r="E45">
        <f t="shared" si="8"/>
        <v>2159.44</v>
      </c>
      <c r="F45" s="3">
        <v>2274.3200000000002</v>
      </c>
      <c r="G45" s="3">
        <f t="shared" si="7"/>
        <v>2224.3200000000002</v>
      </c>
      <c r="H45">
        <v>1948</v>
      </c>
      <c r="I45" s="3">
        <f t="shared" si="9"/>
        <v>2086.16</v>
      </c>
      <c r="J45">
        <f t="shared" si="10"/>
        <v>2017.08</v>
      </c>
      <c r="K45">
        <f t="shared" si="11"/>
        <v>1997.08</v>
      </c>
      <c r="L45">
        <v>1948</v>
      </c>
      <c r="M45" s="3">
        <f t="shared" si="12"/>
        <v>1972.54</v>
      </c>
      <c r="N45" s="3">
        <f t="shared" si="13"/>
        <v>1971.54</v>
      </c>
    </row>
    <row r="46" spans="1:15" x14ac:dyDescent="0.25">
      <c r="A46">
        <v>2232</v>
      </c>
      <c r="B46">
        <v>1957</v>
      </c>
      <c r="C46">
        <v>2248.61</v>
      </c>
      <c r="E46">
        <f t="shared" si="8"/>
        <v>2145.8700000000003</v>
      </c>
      <c r="F46" s="3">
        <v>2248.61</v>
      </c>
      <c r="G46" s="3">
        <f t="shared" si="7"/>
        <v>2198.61</v>
      </c>
      <c r="H46">
        <v>1957</v>
      </c>
      <c r="I46" s="3">
        <f t="shared" si="9"/>
        <v>2077.8050000000003</v>
      </c>
      <c r="J46">
        <f t="shared" si="10"/>
        <v>2017.4025000000001</v>
      </c>
      <c r="K46">
        <f t="shared" si="11"/>
        <v>1997.4025000000001</v>
      </c>
      <c r="L46">
        <v>1957</v>
      </c>
      <c r="M46" s="3">
        <f t="shared" si="12"/>
        <v>1977.2012500000001</v>
      </c>
      <c r="N46" s="3">
        <f t="shared" si="13"/>
        <v>1976.2012500000001</v>
      </c>
    </row>
    <row r="47" spans="1:15" x14ac:dyDescent="0.25">
      <c r="A47">
        <v>2236</v>
      </c>
      <c r="B47">
        <v>1936</v>
      </c>
      <c r="C47">
        <v>2253.29</v>
      </c>
      <c r="E47">
        <f t="shared" si="8"/>
        <v>2141.7633333333333</v>
      </c>
      <c r="F47" s="3">
        <v>2253.29</v>
      </c>
      <c r="G47" s="3">
        <f t="shared" si="7"/>
        <v>2203.29</v>
      </c>
      <c r="H47">
        <v>1936</v>
      </c>
      <c r="I47" s="3">
        <f t="shared" si="9"/>
        <v>2069.645</v>
      </c>
      <c r="J47">
        <f t="shared" si="10"/>
        <v>2002.8225</v>
      </c>
      <c r="K47">
        <f t="shared" si="11"/>
        <v>1982.8225</v>
      </c>
      <c r="L47">
        <v>1936</v>
      </c>
      <c r="M47" s="3">
        <f t="shared" si="12"/>
        <v>1959.4112500000001</v>
      </c>
      <c r="N47" s="3">
        <f t="shared" si="13"/>
        <v>1958.4112500000001</v>
      </c>
    </row>
    <row r="48" spans="1:15" x14ac:dyDescent="0.25">
      <c r="A48">
        <v>2217</v>
      </c>
      <c r="B48">
        <v>1909</v>
      </c>
      <c r="C48">
        <v>2212.1999999999998</v>
      </c>
      <c r="E48">
        <f t="shared" si="8"/>
        <v>2112.7333333333331</v>
      </c>
      <c r="F48" s="3">
        <v>2212.1999999999998</v>
      </c>
      <c r="G48" s="3">
        <f t="shared" si="7"/>
        <v>2162.1999999999998</v>
      </c>
      <c r="H48">
        <v>1909</v>
      </c>
      <c r="I48" s="3">
        <f t="shared" si="9"/>
        <v>2035.6</v>
      </c>
      <c r="J48">
        <f t="shared" si="10"/>
        <v>1972.3</v>
      </c>
      <c r="K48">
        <f t="shared" si="11"/>
        <v>1952.3</v>
      </c>
      <c r="L48">
        <v>1909</v>
      </c>
      <c r="M48" s="3">
        <f t="shared" si="12"/>
        <v>1930.65</v>
      </c>
      <c r="N48" s="3">
        <f t="shared" si="13"/>
        <v>1929.65</v>
      </c>
    </row>
    <row r="49" spans="1:14" x14ac:dyDescent="0.25">
      <c r="A49">
        <v>2188</v>
      </c>
      <c r="B49">
        <v>1937</v>
      </c>
      <c r="C49">
        <v>2167.4699999999998</v>
      </c>
      <c r="E49">
        <f t="shared" si="8"/>
        <v>2097.4899999999998</v>
      </c>
      <c r="F49" s="3">
        <v>2167.4699999999998</v>
      </c>
      <c r="G49" s="3">
        <f t="shared" si="7"/>
        <v>2117.4699999999998</v>
      </c>
      <c r="H49">
        <v>1937</v>
      </c>
      <c r="I49" s="3">
        <f t="shared" si="9"/>
        <v>2027.2349999999999</v>
      </c>
      <c r="J49">
        <f t="shared" si="10"/>
        <v>1982.1174999999998</v>
      </c>
      <c r="K49">
        <f t="shared" si="11"/>
        <v>1962.1174999999998</v>
      </c>
      <c r="L49">
        <v>1937</v>
      </c>
      <c r="M49" s="3">
        <f t="shared" si="12"/>
        <v>1949.5587499999999</v>
      </c>
      <c r="N49" s="3">
        <f t="shared" si="13"/>
        <v>1948.5587499999999</v>
      </c>
    </row>
    <row r="50" spans="1:14" x14ac:dyDescent="0.25">
      <c r="A50">
        <v>2174</v>
      </c>
      <c r="B50">
        <v>1952</v>
      </c>
      <c r="C50">
        <v>2181.75</v>
      </c>
      <c r="E50">
        <f t="shared" si="8"/>
        <v>2102.5833333333335</v>
      </c>
      <c r="F50" s="3">
        <v>2181.75</v>
      </c>
      <c r="G50" s="3">
        <f t="shared" si="7"/>
        <v>2131.75</v>
      </c>
      <c r="H50">
        <v>1952</v>
      </c>
      <c r="I50" s="3">
        <f t="shared" si="9"/>
        <v>2041.875</v>
      </c>
      <c r="J50">
        <f t="shared" si="10"/>
        <v>1996.9375</v>
      </c>
      <c r="K50">
        <f t="shared" si="11"/>
        <v>1976.9375</v>
      </c>
      <c r="L50">
        <v>1952</v>
      </c>
      <c r="M50" s="3">
        <f t="shared" si="12"/>
        <v>1964.46875</v>
      </c>
      <c r="N50" s="3">
        <f t="shared" si="13"/>
        <v>1963.46875</v>
      </c>
    </row>
    <row r="51" spans="1:14" x14ac:dyDescent="0.25">
      <c r="A51">
        <v>2166</v>
      </c>
      <c r="B51">
        <v>2015</v>
      </c>
      <c r="C51">
        <v>2180.6</v>
      </c>
      <c r="E51">
        <f t="shared" si="8"/>
        <v>2120.5333333333333</v>
      </c>
      <c r="F51" s="3">
        <v>2180.6</v>
      </c>
      <c r="G51" s="3">
        <f t="shared" si="7"/>
        <v>2130.6</v>
      </c>
      <c r="H51">
        <v>2015</v>
      </c>
      <c r="I51" s="3">
        <f t="shared" si="9"/>
        <v>2072.8000000000002</v>
      </c>
      <c r="J51">
        <f t="shared" si="10"/>
        <v>2043.9</v>
      </c>
      <c r="K51">
        <f t="shared" si="11"/>
        <v>2023.9</v>
      </c>
      <c r="L51">
        <v>2015</v>
      </c>
      <c r="M51" s="3">
        <f t="shared" si="12"/>
        <v>2019.45</v>
      </c>
      <c r="N51" s="3">
        <f t="shared" si="13"/>
        <v>2018.45</v>
      </c>
    </row>
    <row r="52" spans="1:14" x14ac:dyDescent="0.25">
      <c r="A52">
        <v>2139</v>
      </c>
      <c r="B52">
        <v>2076</v>
      </c>
      <c r="C52">
        <v>2225.08</v>
      </c>
      <c r="E52">
        <f t="shared" si="8"/>
        <v>2146.6933333333332</v>
      </c>
      <c r="F52" s="3">
        <v>2225.08</v>
      </c>
      <c r="G52" s="3">
        <f t="shared" si="7"/>
        <v>2175.08</v>
      </c>
      <c r="H52">
        <v>2076</v>
      </c>
      <c r="I52" s="3">
        <f t="shared" si="9"/>
        <v>2125.54</v>
      </c>
      <c r="J52">
        <f t="shared" si="10"/>
        <v>2100.77</v>
      </c>
      <c r="K52">
        <f t="shared" si="11"/>
        <v>2080.77</v>
      </c>
      <c r="L52">
        <v>2076</v>
      </c>
      <c r="M52" s="3">
        <f t="shared" si="12"/>
        <v>2078.3850000000002</v>
      </c>
      <c r="N52" s="3">
        <f t="shared" si="13"/>
        <v>2077.3850000000002</v>
      </c>
    </row>
    <row r="53" spans="1:14" x14ac:dyDescent="0.25">
      <c r="A53">
        <v>2187</v>
      </c>
      <c r="B53">
        <v>2065</v>
      </c>
      <c r="C53">
        <v>2281.98</v>
      </c>
      <c r="E53">
        <f t="shared" si="8"/>
        <v>2177.9933333333333</v>
      </c>
      <c r="F53" s="3">
        <v>2281.98</v>
      </c>
      <c r="G53" s="3">
        <f t="shared" si="7"/>
        <v>2231.98</v>
      </c>
      <c r="H53">
        <v>2065</v>
      </c>
      <c r="I53" s="3">
        <f t="shared" si="9"/>
        <v>2148.4899999999998</v>
      </c>
      <c r="J53">
        <f t="shared" si="10"/>
        <v>2106.7449999999999</v>
      </c>
      <c r="K53">
        <f t="shared" si="11"/>
        <v>2086.7449999999999</v>
      </c>
      <c r="L53">
        <v>2065</v>
      </c>
      <c r="M53" s="3">
        <f t="shared" si="12"/>
        <v>2075.8724999999999</v>
      </c>
      <c r="N53" s="3">
        <f t="shared" si="13"/>
        <v>2074.8724999999999</v>
      </c>
    </row>
    <row r="54" spans="1:14" x14ac:dyDescent="0.25">
      <c r="A54">
        <v>2178</v>
      </c>
      <c r="B54">
        <v>2065</v>
      </c>
      <c r="C54">
        <v>2258.31</v>
      </c>
      <c r="E54">
        <f t="shared" si="8"/>
        <v>2167.103333333333</v>
      </c>
      <c r="F54" s="3">
        <v>2258.31</v>
      </c>
      <c r="G54" s="3">
        <f t="shared" si="7"/>
        <v>2208.31</v>
      </c>
      <c r="H54">
        <v>2065</v>
      </c>
      <c r="I54" s="3">
        <f t="shared" si="9"/>
        <v>2136.6549999999997</v>
      </c>
      <c r="J54">
        <f t="shared" si="10"/>
        <v>2100.8274999999999</v>
      </c>
      <c r="K54">
        <f t="shared" si="11"/>
        <v>2080.8274999999999</v>
      </c>
      <c r="L54">
        <v>2065</v>
      </c>
      <c r="M54" s="3">
        <f t="shared" si="12"/>
        <v>2072.9137499999997</v>
      </c>
      <c r="N54" s="3">
        <f t="shared" si="13"/>
        <v>2071.9137499999997</v>
      </c>
    </row>
    <row r="55" spans="1:14" x14ac:dyDescent="0.25">
      <c r="A55">
        <v>2208</v>
      </c>
      <c r="B55">
        <v>2070</v>
      </c>
      <c r="C55">
        <v>2250.15</v>
      </c>
      <c r="E55">
        <f t="shared" si="8"/>
        <v>2176.0499999999997</v>
      </c>
      <c r="F55" s="3">
        <v>2250.15</v>
      </c>
      <c r="G55" s="3">
        <f t="shared" si="7"/>
        <v>2200.15</v>
      </c>
      <c r="H55">
        <v>2070</v>
      </c>
      <c r="I55" s="3">
        <f t="shared" si="9"/>
        <v>2135.0749999999998</v>
      </c>
      <c r="J55">
        <f t="shared" si="10"/>
        <v>2102.5374999999999</v>
      </c>
      <c r="K55">
        <f t="shared" si="11"/>
        <v>2082.5374999999999</v>
      </c>
      <c r="L55">
        <v>2070</v>
      </c>
      <c r="M55" s="3">
        <f t="shared" si="12"/>
        <v>2076.2687500000002</v>
      </c>
      <c r="N55" s="3">
        <f t="shared" si="13"/>
        <v>2075.2687500000002</v>
      </c>
    </row>
    <row r="56" spans="1:14" x14ac:dyDescent="0.25">
      <c r="A56">
        <v>2210</v>
      </c>
      <c r="B56">
        <v>2087</v>
      </c>
      <c r="C56">
        <v>2245.96</v>
      </c>
      <c r="E56">
        <f t="shared" si="8"/>
        <v>2180.9866666666667</v>
      </c>
      <c r="F56" s="3">
        <v>2245.96</v>
      </c>
      <c r="G56" s="3">
        <f t="shared" ref="G56:G96" si="14">F56-100</f>
        <v>2145.96</v>
      </c>
      <c r="H56">
        <v>2087</v>
      </c>
      <c r="I56" s="3">
        <f t="shared" si="9"/>
        <v>2116.48</v>
      </c>
      <c r="J56">
        <f t="shared" si="10"/>
        <v>2101.7399999999998</v>
      </c>
      <c r="K56">
        <f t="shared" si="11"/>
        <v>2081.7399999999998</v>
      </c>
      <c r="L56">
        <v>2087</v>
      </c>
      <c r="M56" s="3">
        <f t="shared" si="12"/>
        <v>2084.37</v>
      </c>
      <c r="N56" s="3">
        <f t="shared" si="13"/>
        <v>2083.37</v>
      </c>
    </row>
    <row r="57" spans="1:14" x14ac:dyDescent="0.25">
      <c r="A57">
        <v>2220</v>
      </c>
      <c r="B57">
        <v>2131</v>
      </c>
      <c r="C57">
        <v>2262.08</v>
      </c>
      <c r="E57">
        <f t="shared" si="8"/>
        <v>2204.36</v>
      </c>
      <c r="F57" s="3">
        <v>2262.08</v>
      </c>
      <c r="G57" s="3">
        <f t="shared" si="14"/>
        <v>2162.08</v>
      </c>
      <c r="H57">
        <v>2131</v>
      </c>
      <c r="I57" s="3">
        <f t="shared" si="9"/>
        <v>2146.54</v>
      </c>
      <c r="J57">
        <f t="shared" si="10"/>
        <v>2138.77</v>
      </c>
      <c r="K57">
        <f t="shared" si="11"/>
        <v>2118.77</v>
      </c>
      <c r="L57">
        <v>2131</v>
      </c>
      <c r="M57" s="3">
        <f t="shared" si="12"/>
        <v>2124.8850000000002</v>
      </c>
      <c r="N57" s="3">
        <f t="shared" si="13"/>
        <v>2123.8850000000002</v>
      </c>
    </row>
    <row r="58" spans="1:14" x14ac:dyDescent="0.25">
      <c r="A58">
        <v>2186</v>
      </c>
      <c r="B58">
        <v>2147</v>
      </c>
      <c r="C58">
        <v>2310.65</v>
      </c>
      <c r="E58">
        <f t="shared" si="8"/>
        <v>2214.5499999999997</v>
      </c>
      <c r="F58" s="3">
        <v>2310.65</v>
      </c>
      <c r="G58" s="3">
        <f t="shared" si="14"/>
        <v>2210.65</v>
      </c>
      <c r="H58">
        <v>2147</v>
      </c>
      <c r="I58" s="3">
        <f t="shared" si="9"/>
        <v>2178.8249999999998</v>
      </c>
      <c r="J58">
        <f t="shared" si="10"/>
        <v>2162.9124999999999</v>
      </c>
      <c r="K58">
        <f t="shared" si="11"/>
        <v>2142.9124999999999</v>
      </c>
      <c r="L58">
        <v>2147</v>
      </c>
      <c r="M58" s="3">
        <f t="shared" si="12"/>
        <v>2144.9562500000002</v>
      </c>
      <c r="N58" s="3">
        <f t="shared" si="13"/>
        <v>2143.9562500000002</v>
      </c>
    </row>
    <row r="59" spans="1:14" x14ac:dyDescent="0.25">
      <c r="A59">
        <v>2154</v>
      </c>
      <c r="B59">
        <v>2147</v>
      </c>
      <c r="C59">
        <v>2328.5</v>
      </c>
      <c r="E59">
        <f t="shared" si="8"/>
        <v>2209.8333333333335</v>
      </c>
      <c r="F59" s="3">
        <v>2328.5</v>
      </c>
      <c r="G59" s="3">
        <f t="shared" si="14"/>
        <v>2228.5</v>
      </c>
      <c r="H59">
        <v>2147</v>
      </c>
      <c r="I59" s="3">
        <f t="shared" si="9"/>
        <v>2187.75</v>
      </c>
      <c r="J59">
        <f t="shared" si="10"/>
        <v>2167.375</v>
      </c>
      <c r="K59">
        <f t="shared" si="11"/>
        <v>2147.375</v>
      </c>
      <c r="L59">
        <v>2147</v>
      </c>
      <c r="M59" s="3">
        <f t="shared" si="12"/>
        <v>2147.1875</v>
      </c>
      <c r="N59" s="3">
        <f t="shared" si="13"/>
        <v>2146.1875</v>
      </c>
    </row>
    <row r="60" spans="1:14" x14ac:dyDescent="0.25">
      <c r="A60">
        <v>2149</v>
      </c>
      <c r="B60">
        <v>2116</v>
      </c>
      <c r="C60">
        <v>2316.48</v>
      </c>
      <c r="E60">
        <f t="shared" si="8"/>
        <v>2193.8266666666664</v>
      </c>
      <c r="F60" s="3">
        <v>2316.48</v>
      </c>
      <c r="G60" s="3">
        <f t="shared" si="14"/>
        <v>2216.48</v>
      </c>
      <c r="H60">
        <v>2116</v>
      </c>
      <c r="I60" s="3">
        <f t="shared" si="9"/>
        <v>2166.2399999999998</v>
      </c>
      <c r="J60">
        <f t="shared" si="10"/>
        <v>2141.12</v>
      </c>
      <c r="K60">
        <f t="shared" si="11"/>
        <v>2121.12</v>
      </c>
      <c r="L60">
        <v>2116</v>
      </c>
      <c r="M60" s="3">
        <f t="shared" si="12"/>
        <v>2118.56</v>
      </c>
      <c r="N60" s="3">
        <f t="shared" si="13"/>
        <v>2117.56</v>
      </c>
    </row>
    <row r="61" spans="1:14" x14ac:dyDescent="0.25">
      <c r="A61">
        <v>2148</v>
      </c>
      <c r="B61">
        <v>2121</v>
      </c>
      <c r="C61">
        <v>2279.0100000000002</v>
      </c>
      <c r="E61">
        <f t="shared" si="8"/>
        <v>2182.67</v>
      </c>
      <c r="F61" s="3">
        <v>2279.0100000000002</v>
      </c>
      <c r="G61" s="3">
        <f t="shared" si="14"/>
        <v>2179.0100000000002</v>
      </c>
      <c r="H61">
        <v>2121</v>
      </c>
      <c r="I61" s="3">
        <f t="shared" si="9"/>
        <v>2150.0050000000001</v>
      </c>
      <c r="J61">
        <f t="shared" si="10"/>
        <v>2135.5025000000001</v>
      </c>
      <c r="K61">
        <f t="shared" si="11"/>
        <v>2115.5025000000001</v>
      </c>
      <c r="L61">
        <v>2121</v>
      </c>
      <c r="M61" s="3">
        <f t="shared" si="12"/>
        <v>2118.2512500000003</v>
      </c>
      <c r="N61" s="3">
        <f t="shared" si="13"/>
        <v>2117.2512500000003</v>
      </c>
    </row>
    <row r="62" spans="1:14" x14ac:dyDescent="0.25">
      <c r="A62">
        <v>2121</v>
      </c>
      <c r="B62">
        <v>1788</v>
      </c>
      <c r="C62">
        <v>2284</v>
      </c>
      <c r="E62">
        <f t="shared" si="8"/>
        <v>2064.3333333333335</v>
      </c>
      <c r="F62" s="3">
        <v>2284</v>
      </c>
      <c r="G62" s="3">
        <f t="shared" si="14"/>
        <v>2184</v>
      </c>
      <c r="H62">
        <v>1788</v>
      </c>
      <c r="I62" s="3">
        <f t="shared" si="9"/>
        <v>1986</v>
      </c>
      <c r="J62">
        <f t="shared" si="10"/>
        <v>1887</v>
      </c>
      <c r="K62">
        <f t="shared" si="11"/>
        <v>1867</v>
      </c>
      <c r="L62">
        <v>1788</v>
      </c>
      <c r="M62" s="3">
        <f t="shared" si="12"/>
        <v>1827.5</v>
      </c>
      <c r="N62" s="3">
        <f t="shared" si="13"/>
        <v>1826.5</v>
      </c>
    </row>
    <row r="63" spans="1:14" x14ac:dyDescent="0.25">
      <c r="A63">
        <v>2120</v>
      </c>
      <c r="B63">
        <v>2116</v>
      </c>
      <c r="C63">
        <v>2212</v>
      </c>
      <c r="E63">
        <f t="shared" si="8"/>
        <v>2149.3333333333335</v>
      </c>
      <c r="F63" s="3">
        <v>2212</v>
      </c>
      <c r="G63" s="3">
        <f t="shared" si="14"/>
        <v>2112</v>
      </c>
      <c r="H63">
        <v>2116</v>
      </c>
      <c r="I63" s="3">
        <f t="shared" si="9"/>
        <v>2114</v>
      </c>
      <c r="J63">
        <f t="shared" si="10"/>
        <v>2115</v>
      </c>
      <c r="K63">
        <f t="shared" si="11"/>
        <v>2095</v>
      </c>
      <c r="L63">
        <v>2116</v>
      </c>
      <c r="M63" s="3">
        <f t="shared" si="12"/>
        <v>2105.5</v>
      </c>
      <c r="N63" s="3">
        <f t="shared" si="13"/>
        <v>2104.5</v>
      </c>
    </row>
    <row r="64" spans="1:14" x14ac:dyDescent="0.25">
      <c r="A64">
        <v>2110</v>
      </c>
      <c r="B64">
        <v>2128</v>
      </c>
      <c r="C64">
        <v>2270</v>
      </c>
      <c r="E64">
        <f t="shared" si="8"/>
        <v>2169.3333333333335</v>
      </c>
      <c r="F64" s="3">
        <v>2270</v>
      </c>
      <c r="G64" s="3">
        <f t="shared" si="14"/>
        <v>2170</v>
      </c>
      <c r="H64">
        <v>2128</v>
      </c>
      <c r="I64" s="3">
        <f t="shared" si="9"/>
        <v>2149</v>
      </c>
      <c r="J64">
        <f t="shared" si="10"/>
        <v>2138.5</v>
      </c>
      <c r="K64">
        <f t="shared" si="11"/>
        <v>2118.5</v>
      </c>
      <c r="L64">
        <v>2128</v>
      </c>
      <c r="M64" s="3">
        <f t="shared" si="12"/>
        <v>2123.25</v>
      </c>
      <c r="N64" s="3">
        <f t="shared" si="13"/>
        <v>2122.25</v>
      </c>
    </row>
    <row r="65" spans="1:15" x14ac:dyDescent="0.25">
      <c r="A65">
        <v>2076</v>
      </c>
      <c r="B65">
        <v>2113</v>
      </c>
      <c r="C65">
        <v>2282</v>
      </c>
      <c r="E65">
        <f t="shared" ref="E65:E96" si="15">AVERAGE(A65:D65)</f>
        <v>2157</v>
      </c>
      <c r="F65" s="3">
        <v>2282</v>
      </c>
      <c r="G65" s="3">
        <f t="shared" si="14"/>
        <v>2182</v>
      </c>
      <c r="H65">
        <v>2113</v>
      </c>
      <c r="I65" s="3">
        <f t="shared" ref="I65:I96" si="16">AVERAGE(G65:H65)</f>
        <v>2147.5</v>
      </c>
      <c r="J65">
        <f t="shared" ref="J65:J96" si="17">AVERAGE(H65:I65)</f>
        <v>2130.25</v>
      </c>
      <c r="K65">
        <f t="shared" ref="K65:K96" si="18">J65-20</f>
        <v>2110.25</v>
      </c>
      <c r="L65">
        <v>2113</v>
      </c>
      <c r="M65" s="3">
        <f t="shared" ref="M65:M96" si="19">AVERAGE(K65:L65)</f>
        <v>2111.625</v>
      </c>
      <c r="N65" s="3">
        <f t="shared" ref="N65:N96" si="20">M65-1</f>
        <v>2110.625</v>
      </c>
    </row>
    <row r="66" spans="1:15" x14ac:dyDescent="0.25">
      <c r="A66">
        <v>2069</v>
      </c>
      <c r="B66">
        <v>2099</v>
      </c>
      <c r="C66">
        <v>2261</v>
      </c>
      <c r="E66">
        <f t="shared" si="15"/>
        <v>2143</v>
      </c>
      <c r="F66" s="3">
        <v>2261</v>
      </c>
      <c r="G66" s="3">
        <f t="shared" si="14"/>
        <v>2161</v>
      </c>
      <c r="H66">
        <v>2099</v>
      </c>
      <c r="I66" s="3">
        <f t="shared" si="16"/>
        <v>2130</v>
      </c>
      <c r="J66">
        <f t="shared" si="17"/>
        <v>2114.5</v>
      </c>
      <c r="K66">
        <f t="shared" si="18"/>
        <v>2094.5</v>
      </c>
      <c r="L66">
        <v>2099</v>
      </c>
      <c r="M66" s="3">
        <f t="shared" si="19"/>
        <v>2096.75</v>
      </c>
      <c r="N66" s="3">
        <f t="shared" si="20"/>
        <v>2095.75</v>
      </c>
    </row>
    <row r="67" spans="1:15" x14ac:dyDescent="0.25">
      <c r="A67">
        <v>2050</v>
      </c>
      <c r="B67">
        <v>2087</v>
      </c>
      <c r="C67">
        <v>2241</v>
      </c>
      <c r="E67">
        <f t="shared" si="15"/>
        <v>2126</v>
      </c>
      <c r="F67" s="3">
        <v>2241</v>
      </c>
      <c r="G67" s="3">
        <f t="shared" si="14"/>
        <v>2141</v>
      </c>
      <c r="H67">
        <v>2087</v>
      </c>
      <c r="I67" s="3">
        <f t="shared" si="16"/>
        <v>2114</v>
      </c>
      <c r="J67">
        <f t="shared" si="17"/>
        <v>2100.5</v>
      </c>
      <c r="K67">
        <f t="shared" si="18"/>
        <v>2080.5</v>
      </c>
      <c r="L67">
        <v>2087</v>
      </c>
      <c r="M67" s="3">
        <f t="shared" si="19"/>
        <v>2083.75</v>
      </c>
      <c r="N67" s="3">
        <f t="shared" si="20"/>
        <v>2082.75</v>
      </c>
    </row>
    <row r="68" spans="1:15" x14ac:dyDescent="0.25">
      <c r="A68">
        <v>2046</v>
      </c>
      <c r="B68">
        <v>2087</v>
      </c>
      <c r="C68">
        <v>2224</v>
      </c>
      <c r="E68">
        <f t="shared" si="15"/>
        <v>2119</v>
      </c>
      <c r="F68" s="3">
        <v>2224</v>
      </c>
      <c r="G68" s="3">
        <f t="shared" si="14"/>
        <v>2124</v>
      </c>
      <c r="H68">
        <v>2087</v>
      </c>
      <c r="I68" s="3">
        <f t="shared" si="16"/>
        <v>2105.5</v>
      </c>
      <c r="J68">
        <f t="shared" si="17"/>
        <v>2096.25</v>
      </c>
      <c r="K68">
        <f t="shared" si="18"/>
        <v>2076.25</v>
      </c>
      <c r="L68">
        <v>2087</v>
      </c>
      <c r="M68" s="3">
        <f t="shared" si="19"/>
        <v>2081.625</v>
      </c>
      <c r="N68" s="3">
        <f t="shared" si="20"/>
        <v>2080.625</v>
      </c>
    </row>
    <row r="69" spans="1:15" x14ac:dyDescent="0.25">
      <c r="A69">
        <v>2061</v>
      </c>
      <c r="B69">
        <v>2116</v>
      </c>
      <c r="C69">
        <v>2218</v>
      </c>
      <c r="E69">
        <f t="shared" si="15"/>
        <v>2131.6666666666665</v>
      </c>
      <c r="F69" s="3">
        <v>2218</v>
      </c>
      <c r="G69" s="3">
        <f t="shared" si="14"/>
        <v>2118</v>
      </c>
      <c r="H69">
        <v>2116</v>
      </c>
      <c r="I69" s="3">
        <f t="shared" si="16"/>
        <v>2117</v>
      </c>
      <c r="J69">
        <f t="shared" si="17"/>
        <v>2116.5</v>
      </c>
      <c r="K69">
        <f t="shared" si="18"/>
        <v>2096.5</v>
      </c>
      <c r="L69">
        <v>2116</v>
      </c>
      <c r="M69" s="3">
        <f t="shared" si="19"/>
        <v>2106.25</v>
      </c>
      <c r="N69" s="3">
        <f t="shared" si="20"/>
        <v>2105.25</v>
      </c>
    </row>
    <row r="70" spans="1:15" x14ac:dyDescent="0.25">
      <c r="A70">
        <v>2061</v>
      </c>
      <c r="B70">
        <v>2095</v>
      </c>
      <c r="C70">
        <v>2247.98</v>
      </c>
      <c r="E70">
        <f t="shared" si="15"/>
        <v>2134.66</v>
      </c>
      <c r="F70" s="3">
        <v>2247.98</v>
      </c>
      <c r="G70" s="3">
        <f t="shared" si="14"/>
        <v>2147.98</v>
      </c>
      <c r="H70">
        <v>2095</v>
      </c>
      <c r="I70" s="3">
        <f t="shared" si="16"/>
        <v>2121.4899999999998</v>
      </c>
      <c r="J70">
        <f t="shared" si="17"/>
        <v>2108.2449999999999</v>
      </c>
      <c r="K70">
        <f t="shared" si="18"/>
        <v>2088.2449999999999</v>
      </c>
      <c r="L70">
        <v>2095</v>
      </c>
      <c r="M70" s="3">
        <f t="shared" si="19"/>
        <v>2091.6224999999999</v>
      </c>
      <c r="N70" s="3">
        <f t="shared" si="20"/>
        <v>2090.6224999999999</v>
      </c>
    </row>
    <row r="71" spans="1:15" x14ac:dyDescent="0.25">
      <c r="A71">
        <v>2063</v>
      </c>
      <c r="B71">
        <v>2073</v>
      </c>
      <c r="C71">
        <v>2217.86</v>
      </c>
      <c r="E71">
        <f t="shared" si="15"/>
        <v>2117.9533333333334</v>
      </c>
      <c r="F71" s="3">
        <v>2217.86</v>
      </c>
      <c r="G71" s="3">
        <f t="shared" si="14"/>
        <v>2117.86</v>
      </c>
      <c r="H71">
        <v>2073</v>
      </c>
      <c r="I71" s="3">
        <f t="shared" si="16"/>
        <v>2095.4300000000003</v>
      </c>
      <c r="J71">
        <f t="shared" si="17"/>
        <v>2084.2150000000001</v>
      </c>
      <c r="K71">
        <f t="shared" si="18"/>
        <v>2064.2150000000001</v>
      </c>
      <c r="L71">
        <v>2073</v>
      </c>
      <c r="M71" s="3">
        <f t="shared" si="19"/>
        <v>2068.6075000000001</v>
      </c>
      <c r="N71" s="3">
        <f t="shared" si="20"/>
        <v>2067.6075000000001</v>
      </c>
    </row>
    <row r="72" spans="1:15" x14ac:dyDescent="0.25">
      <c r="A72" s="7">
        <v>2070</v>
      </c>
      <c r="B72" s="7">
        <v>2093</v>
      </c>
      <c r="C72" s="7">
        <v>2181.04</v>
      </c>
      <c r="D72" s="7"/>
      <c r="E72">
        <f t="shared" si="15"/>
        <v>2114.6799999999998</v>
      </c>
      <c r="F72" s="3">
        <v>2181.04</v>
      </c>
      <c r="G72" s="3">
        <f t="shared" si="14"/>
        <v>2081.04</v>
      </c>
      <c r="H72" s="7">
        <v>2093</v>
      </c>
      <c r="I72" s="3">
        <f t="shared" si="16"/>
        <v>2087.02</v>
      </c>
      <c r="J72">
        <f t="shared" si="17"/>
        <v>2090.0100000000002</v>
      </c>
      <c r="K72">
        <f t="shared" si="18"/>
        <v>2070.0100000000002</v>
      </c>
      <c r="L72" s="7">
        <v>2093</v>
      </c>
      <c r="M72" s="3">
        <f t="shared" si="19"/>
        <v>2081.5050000000001</v>
      </c>
      <c r="N72" s="3">
        <f t="shared" si="20"/>
        <v>2080.5050000000001</v>
      </c>
      <c r="O72" s="7"/>
    </row>
    <row r="73" spans="1:15" x14ac:dyDescent="0.25">
      <c r="A73" s="6">
        <v>2076</v>
      </c>
      <c r="B73" s="6">
        <v>2081</v>
      </c>
      <c r="C73" s="6">
        <v>2197.59</v>
      </c>
      <c r="D73" s="6"/>
      <c r="E73">
        <f t="shared" si="15"/>
        <v>2118.1966666666667</v>
      </c>
      <c r="F73" s="3">
        <v>2197.59</v>
      </c>
      <c r="G73" s="3">
        <f t="shared" si="14"/>
        <v>2097.59</v>
      </c>
      <c r="H73" s="6">
        <v>2081</v>
      </c>
      <c r="I73" s="3">
        <f t="shared" si="16"/>
        <v>2089.2950000000001</v>
      </c>
      <c r="J73">
        <f t="shared" si="17"/>
        <v>2085.1475</v>
      </c>
      <c r="K73">
        <f t="shared" si="18"/>
        <v>2065.1475</v>
      </c>
      <c r="L73" s="6">
        <v>2081</v>
      </c>
      <c r="M73" s="3">
        <f t="shared" si="19"/>
        <v>2073.07375</v>
      </c>
      <c r="N73" s="3">
        <f t="shared" si="20"/>
        <v>2072.07375</v>
      </c>
      <c r="O73" s="6"/>
    </row>
    <row r="74" spans="1:15" x14ac:dyDescent="0.25">
      <c r="A74">
        <v>2014</v>
      </c>
      <c r="B74">
        <v>2078</v>
      </c>
      <c r="C74">
        <v>2174.7399999999998</v>
      </c>
      <c r="E74">
        <f t="shared" si="15"/>
        <v>2088.9133333333334</v>
      </c>
      <c r="F74" s="3">
        <v>2174.7399999999998</v>
      </c>
      <c r="G74" s="3">
        <f t="shared" si="14"/>
        <v>2074.7399999999998</v>
      </c>
      <c r="H74">
        <v>2078</v>
      </c>
      <c r="I74" s="3">
        <f t="shared" si="16"/>
        <v>2076.37</v>
      </c>
      <c r="J74">
        <f t="shared" si="17"/>
        <v>2077.1849999999999</v>
      </c>
      <c r="K74">
        <f t="shared" si="18"/>
        <v>2057.1849999999999</v>
      </c>
      <c r="L74">
        <v>2078</v>
      </c>
      <c r="M74" s="3">
        <f t="shared" si="19"/>
        <v>2067.5924999999997</v>
      </c>
      <c r="N74" s="3">
        <f t="shared" si="20"/>
        <v>2066.5924999999997</v>
      </c>
    </row>
    <row r="75" spans="1:15" x14ac:dyDescent="0.25">
      <c r="A75">
        <v>2039</v>
      </c>
      <c r="B75">
        <v>2101</v>
      </c>
      <c r="C75">
        <v>2162.23</v>
      </c>
      <c r="E75">
        <f t="shared" si="15"/>
        <v>2100.7433333333333</v>
      </c>
      <c r="F75" s="3">
        <v>2162.23</v>
      </c>
      <c r="G75" s="3">
        <f t="shared" si="14"/>
        <v>2062.23</v>
      </c>
      <c r="H75">
        <v>2101</v>
      </c>
      <c r="I75" s="3">
        <f t="shared" si="16"/>
        <v>2081.6149999999998</v>
      </c>
      <c r="J75">
        <f t="shared" si="17"/>
        <v>2091.3074999999999</v>
      </c>
      <c r="K75">
        <f t="shared" si="18"/>
        <v>2071.3074999999999</v>
      </c>
      <c r="L75">
        <v>2101</v>
      </c>
      <c r="M75" s="3">
        <f t="shared" si="19"/>
        <v>2086.1537499999999</v>
      </c>
      <c r="N75" s="3">
        <f t="shared" si="20"/>
        <v>2085.1537499999999</v>
      </c>
    </row>
    <row r="76" spans="1:15" x14ac:dyDescent="0.25">
      <c r="A76">
        <v>2052</v>
      </c>
      <c r="B76">
        <v>2122</v>
      </c>
      <c r="C76">
        <v>2159.7199999999998</v>
      </c>
      <c r="E76">
        <f t="shared" si="15"/>
        <v>2111.2399999999998</v>
      </c>
      <c r="F76" s="3">
        <v>2159.7199999999998</v>
      </c>
      <c r="G76" s="3">
        <f t="shared" si="14"/>
        <v>2059.7199999999998</v>
      </c>
      <c r="H76">
        <v>2122</v>
      </c>
      <c r="I76" s="3">
        <f t="shared" si="16"/>
        <v>2090.8599999999997</v>
      </c>
      <c r="J76">
        <f t="shared" si="17"/>
        <v>2106.4299999999998</v>
      </c>
      <c r="K76">
        <f t="shared" si="18"/>
        <v>2086.4299999999998</v>
      </c>
      <c r="L76">
        <v>2122</v>
      </c>
      <c r="M76" s="3">
        <f t="shared" si="19"/>
        <v>2104.2150000000001</v>
      </c>
      <c r="N76" s="3">
        <f t="shared" si="20"/>
        <v>2103.2150000000001</v>
      </c>
    </row>
    <row r="77" spans="1:15" x14ac:dyDescent="0.25">
      <c r="A77">
        <v>2074</v>
      </c>
      <c r="B77">
        <v>2149</v>
      </c>
      <c r="C77">
        <v>2175.4499999999998</v>
      </c>
      <c r="E77">
        <f t="shared" si="15"/>
        <v>2132.8166666666666</v>
      </c>
      <c r="F77" s="3">
        <v>2175.4499999999998</v>
      </c>
      <c r="G77" s="3">
        <f t="shared" si="14"/>
        <v>2075.4499999999998</v>
      </c>
      <c r="H77">
        <v>2149</v>
      </c>
      <c r="I77" s="3">
        <f t="shared" si="16"/>
        <v>2112.2249999999999</v>
      </c>
      <c r="J77">
        <f t="shared" si="17"/>
        <v>2130.6125000000002</v>
      </c>
      <c r="K77">
        <f t="shared" si="18"/>
        <v>2110.6125000000002</v>
      </c>
      <c r="L77">
        <v>2149</v>
      </c>
      <c r="M77" s="3">
        <f t="shared" si="19"/>
        <v>2129.8062500000001</v>
      </c>
      <c r="N77" s="3">
        <f t="shared" si="20"/>
        <v>2128.8062500000001</v>
      </c>
    </row>
    <row r="78" spans="1:15" x14ac:dyDescent="0.25">
      <c r="A78">
        <v>2156</v>
      </c>
      <c r="B78">
        <v>2247</v>
      </c>
      <c r="C78">
        <v>2198.77</v>
      </c>
      <c r="E78">
        <f t="shared" si="15"/>
        <v>2200.59</v>
      </c>
      <c r="F78" s="3">
        <v>2198.77</v>
      </c>
      <c r="G78" s="3">
        <f t="shared" si="14"/>
        <v>2098.77</v>
      </c>
      <c r="H78">
        <v>2247</v>
      </c>
      <c r="I78" s="3">
        <f t="shared" si="16"/>
        <v>2172.8850000000002</v>
      </c>
      <c r="J78">
        <f t="shared" si="17"/>
        <v>2209.9425000000001</v>
      </c>
      <c r="K78">
        <f t="shared" si="18"/>
        <v>2189.9425000000001</v>
      </c>
      <c r="L78">
        <v>2247</v>
      </c>
      <c r="M78" s="3">
        <f t="shared" si="19"/>
        <v>2218.4712500000001</v>
      </c>
      <c r="N78" s="3">
        <f t="shared" si="20"/>
        <v>2217.4712500000001</v>
      </c>
    </row>
    <row r="79" spans="1:15" x14ac:dyDescent="0.25">
      <c r="A79">
        <v>2281</v>
      </c>
      <c r="B79">
        <v>2377</v>
      </c>
      <c r="C79">
        <v>2308.13</v>
      </c>
      <c r="E79">
        <f t="shared" si="15"/>
        <v>2322.0433333333335</v>
      </c>
      <c r="F79" s="3">
        <v>2308.13</v>
      </c>
      <c r="G79" s="3">
        <f t="shared" si="14"/>
        <v>2208.13</v>
      </c>
      <c r="H79">
        <v>2377</v>
      </c>
      <c r="I79" s="3">
        <f t="shared" si="16"/>
        <v>2292.5650000000001</v>
      </c>
      <c r="J79">
        <f t="shared" si="17"/>
        <v>2334.7825000000003</v>
      </c>
      <c r="K79">
        <f t="shared" si="18"/>
        <v>2314.7825000000003</v>
      </c>
      <c r="L79">
        <v>2377</v>
      </c>
      <c r="M79" s="3">
        <f t="shared" si="19"/>
        <v>2345.8912500000001</v>
      </c>
      <c r="N79" s="3">
        <f t="shared" si="20"/>
        <v>2344.8912500000001</v>
      </c>
    </row>
    <row r="80" spans="1:15" x14ac:dyDescent="0.25">
      <c r="A80">
        <v>2391</v>
      </c>
      <c r="B80">
        <v>2413</v>
      </c>
      <c r="C80">
        <v>2439.56</v>
      </c>
      <c r="E80">
        <f t="shared" si="15"/>
        <v>2414.52</v>
      </c>
      <c r="F80" s="3">
        <v>2439.56</v>
      </c>
      <c r="G80" s="3">
        <f t="shared" si="14"/>
        <v>2339.56</v>
      </c>
      <c r="H80">
        <v>2413</v>
      </c>
      <c r="I80" s="3">
        <f t="shared" si="16"/>
        <v>2376.2799999999997</v>
      </c>
      <c r="J80">
        <f t="shared" si="17"/>
        <v>2394.64</v>
      </c>
      <c r="K80">
        <f t="shared" si="18"/>
        <v>2374.64</v>
      </c>
      <c r="L80">
        <v>2413</v>
      </c>
      <c r="M80" s="3">
        <f t="shared" si="19"/>
        <v>2393.8199999999997</v>
      </c>
      <c r="N80" s="3">
        <f t="shared" si="20"/>
        <v>2392.8199999999997</v>
      </c>
    </row>
    <row r="81" spans="1:15" x14ac:dyDescent="0.25">
      <c r="A81">
        <v>2440</v>
      </c>
      <c r="B81">
        <v>2440</v>
      </c>
      <c r="C81">
        <v>2476.44</v>
      </c>
      <c r="E81">
        <f t="shared" si="15"/>
        <v>2452.146666666667</v>
      </c>
      <c r="F81" s="3">
        <v>2476.44</v>
      </c>
      <c r="G81" s="3">
        <f t="shared" si="14"/>
        <v>2376.44</v>
      </c>
      <c r="H81">
        <v>2440</v>
      </c>
      <c r="I81" s="3">
        <f t="shared" si="16"/>
        <v>2408.2200000000003</v>
      </c>
      <c r="J81">
        <f t="shared" si="17"/>
        <v>2424.11</v>
      </c>
      <c r="K81">
        <f t="shared" si="18"/>
        <v>2404.11</v>
      </c>
      <c r="L81">
        <v>2440</v>
      </c>
      <c r="M81" s="3">
        <f t="shared" si="19"/>
        <v>2422.0550000000003</v>
      </c>
      <c r="N81" s="3">
        <f t="shared" si="20"/>
        <v>2421.0550000000003</v>
      </c>
    </row>
    <row r="82" spans="1:15" x14ac:dyDescent="0.25">
      <c r="A82">
        <v>2460</v>
      </c>
      <c r="B82">
        <v>2460</v>
      </c>
      <c r="C82">
        <v>2501.4699999999998</v>
      </c>
      <c r="E82">
        <f t="shared" si="15"/>
        <v>2473.8233333333333</v>
      </c>
      <c r="F82" s="3">
        <v>2501.4699999999998</v>
      </c>
      <c r="G82" s="3">
        <f t="shared" si="14"/>
        <v>2401.4699999999998</v>
      </c>
      <c r="H82">
        <v>2460</v>
      </c>
      <c r="I82" s="3">
        <f t="shared" si="16"/>
        <v>2430.7349999999997</v>
      </c>
      <c r="J82">
        <f t="shared" si="17"/>
        <v>2445.3674999999998</v>
      </c>
      <c r="K82">
        <f t="shared" si="18"/>
        <v>2425.3674999999998</v>
      </c>
      <c r="L82">
        <v>2460</v>
      </c>
      <c r="M82" s="3">
        <f t="shared" si="19"/>
        <v>2442.6837500000001</v>
      </c>
      <c r="N82" s="3">
        <f t="shared" si="20"/>
        <v>2441.6837500000001</v>
      </c>
    </row>
    <row r="83" spans="1:15" x14ac:dyDescent="0.25">
      <c r="A83">
        <v>2471</v>
      </c>
      <c r="B83">
        <v>2488</v>
      </c>
      <c r="C83">
        <v>2517.85</v>
      </c>
      <c r="E83">
        <f t="shared" si="15"/>
        <v>2492.2833333333333</v>
      </c>
      <c r="F83" s="3">
        <v>2517.85</v>
      </c>
      <c r="G83" s="3">
        <f t="shared" si="14"/>
        <v>2417.85</v>
      </c>
      <c r="H83">
        <v>2488</v>
      </c>
      <c r="I83" s="3">
        <f t="shared" si="16"/>
        <v>2452.9250000000002</v>
      </c>
      <c r="J83">
        <f t="shared" si="17"/>
        <v>2470.4625000000001</v>
      </c>
      <c r="K83">
        <f t="shared" si="18"/>
        <v>2450.4625000000001</v>
      </c>
      <c r="L83">
        <v>2488</v>
      </c>
      <c r="M83" s="3">
        <f t="shared" si="19"/>
        <v>2469.2312499999998</v>
      </c>
      <c r="N83" s="3">
        <f t="shared" si="20"/>
        <v>2468.2312499999998</v>
      </c>
    </row>
    <row r="84" spans="1:15" x14ac:dyDescent="0.25">
      <c r="A84">
        <v>2480</v>
      </c>
      <c r="B84">
        <v>2508</v>
      </c>
      <c r="C84">
        <v>2502.4699999999998</v>
      </c>
      <c r="E84">
        <f t="shared" si="15"/>
        <v>2496.8233333333333</v>
      </c>
      <c r="F84" s="3">
        <v>2502.4699999999998</v>
      </c>
      <c r="G84" s="3">
        <f t="shared" si="14"/>
        <v>2402.4699999999998</v>
      </c>
      <c r="H84">
        <v>2508</v>
      </c>
      <c r="I84" s="3">
        <f t="shared" si="16"/>
        <v>2455.2349999999997</v>
      </c>
      <c r="J84">
        <f t="shared" si="17"/>
        <v>2481.6174999999998</v>
      </c>
      <c r="K84">
        <f t="shared" si="18"/>
        <v>2461.6174999999998</v>
      </c>
      <c r="L84">
        <v>2508</v>
      </c>
      <c r="M84" s="3">
        <f t="shared" si="19"/>
        <v>2484.8087500000001</v>
      </c>
      <c r="N84" s="3">
        <f t="shared" si="20"/>
        <v>2483.8087500000001</v>
      </c>
    </row>
    <row r="85" spans="1:15" x14ac:dyDescent="0.25">
      <c r="A85">
        <v>2491</v>
      </c>
      <c r="B85">
        <v>2495</v>
      </c>
      <c r="C85">
        <v>2519.5</v>
      </c>
      <c r="E85">
        <f t="shared" si="15"/>
        <v>2501.8333333333335</v>
      </c>
      <c r="F85" s="3">
        <v>2519.5</v>
      </c>
      <c r="G85" s="3">
        <f t="shared" si="14"/>
        <v>2419.5</v>
      </c>
      <c r="H85">
        <v>2495</v>
      </c>
      <c r="I85" s="3">
        <f t="shared" si="16"/>
        <v>2457.25</v>
      </c>
      <c r="J85">
        <f t="shared" si="17"/>
        <v>2476.125</v>
      </c>
      <c r="K85">
        <f t="shared" si="18"/>
        <v>2456.125</v>
      </c>
      <c r="L85">
        <v>2495</v>
      </c>
      <c r="M85" s="3">
        <f t="shared" si="19"/>
        <v>2475.5625</v>
      </c>
      <c r="N85" s="3">
        <f t="shared" si="20"/>
        <v>2474.5625</v>
      </c>
    </row>
    <row r="86" spans="1:15" x14ac:dyDescent="0.25">
      <c r="A86">
        <v>2482</v>
      </c>
      <c r="B86">
        <v>2513</v>
      </c>
      <c r="C86">
        <v>2489.64</v>
      </c>
      <c r="E86">
        <f t="shared" si="15"/>
        <v>2494.8799999999997</v>
      </c>
      <c r="F86" s="3">
        <v>2489.64</v>
      </c>
      <c r="G86" s="3">
        <f t="shared" si="14"/>
        <v>2389.64</v>
      </c>
      <c r="H86">
        <v>2513</v>
      </c>
      <c r="I86" s="3">
        <f t="shared" si="16"/>
        <v>2451.3199999999997</v>
      </c>
      <c r="J86">
        <f t="shared" si="17"/>
        <v>2482.16</v>
      </c>
      <c r="K86">
        <f t="shared" si="18"/>
        <v>2462.16</v>
      </c>
      <c r="L86">
        <v>2513</v>
      </c>
      <c r="M86" s="3">
        <f t="shared" si="19"/>
        <v>2487.58</v>
      </c>
      <c r="N86" s="3">
        <f t="shared" si="20"/>
        <v>2486.58</v>
      </c>
    </row>
    <row r="87" spans="1:15" x14ac:dyDescent="0.25">
      <c r="A87">
        <v>2476</v>
      </c>
      <c r="B87">
        <v>2481</v>
      </c>
      <c r="C87">
        <v>2502</v>
      </c>
      <c r="E87">
        <f t="shared" si="15"/>
        <v>2486.3333333333335</v>
      </c>
      <c r="F87" s="3">
        <v>2502</v>
      </c>
      <c r="G87" s="3">
        <f t="shared" si="14"/>
        <v>2402</v>
      </c>
      <c r="H87">
        <v>2481</v>
      </c>
      <c r="I87" s="3">
        <f t="shared" si="16"/>
        <v>2441.5</v>
      </c>
      <c r="J87">
        <f t="shared" si="17"/>
        <v>2461.25</v>
      </c>
      <c r="K87">
        <f t="shared" si="18"/>
        <v>2441.25</v>
      </c>
      <c r="L87">
        <v>2481</v>
      </c>
      <c r="M87" s="3">
        <f t="shared" si="19"/>
        <v>2461.125</v>
      </c>
      <c r="N87" s="3">
        <f t="shared" si="20"/>
        <v>2460.125</v>
      </c>
    </row>
    <row r="88" spans="1:15" x14ac:dyDescent="0.25">
      <c r="A88" s="6">
        <v>2483</v>
      </c>
      <c r="B88" s="6">
        <v>2479</v>
      </c>
      <c r="C88" s="6">
        <v>2474</v>
      </c>
      <c r="D88" s="6"/>
      <c r="E88">
        <f t="shared" si="15"/>
        <v>2478.6666666666665</v>
      </c>
      <c r="F88" s="3">
        <v>2474</v>
      </c>
      <c r="G88" s="3">
        <f t="shared" si="14"/>
        <v>2374</v>
      </c>
      <c r="H88" s="6">
        <v>2479</v>
      </c>
      <c r="I88" s="3">
        <f t="shared" si="16"/>
        <v>2426.5</v>
      </c>
      <c r="J88">
        <f t="shared" si="17"/>
        <v>2452.75</v>
      </c>
      <c r="K88">
        <f t="shared" si="18"/>
        <v>2432.75</v>
      </c>
      <c r="L88" s="6">
        <v>2479</v>
      </c>
      <c r="M88" s="3">
        <f t="shared" si="19"/>
        <v>2455.875</v>
      </c>
      <c r="N88" s="3">
        <f t="shared" si="20"/>
        <v>2454.875</v>
      </c>
      <c r="O88" s="6"/>
    </row>
    <row r="89" spans="1:15" x14ac:dyDescent="0.25">
      <c r="A89">
        <v>2476</v>
      </c>
      <c r="B89">
        <v>2511</v>
      </c>
      <c r="C89">
        <v>2459.02</v>
      </c>
      <c r="E89">
        <f t="shared" si="15"/>
        <v>2482.0066666666667</v>
      </c>
      <c r="F89" s="3">
        <v>2459.02</v>
      </c>
      <c r="G89" s="3">
        <f t="shared" si="14"/>
        <v>2359.02</v>
      </c>
      <c r="H89">
        <v>2511</v>
      </c>
      <c r="I89" s="3">
        <f t="shared" si="16"/>
        <v>2435.0100000000002</v>
      </c>
      <c r="J89">
        <f t="shared" si="17"/>
        <v>2473.0050000000001</v>
      </c>
      <c r="K89">
        <f t="shared" si="18"/>
        <v>2453.0050000000001</v>
      </c>
      <c r="L89">
        <v>2511</v>
      </c>
      <c r="M89" s="3">
        <f t="shared" si="19"/>
        <v>2482.0025000000001</v>
      </c>
      <c r="N89" s="3">
        <f t="shared" si="20"/>
        <v>2481.0025000000001</v>
      </c>
    </row>
    <row r="90" spans="1:15" x14ac:dyDescent="0.25">
      <c r="A90">
        <v>2496</v>
      </c>
      <c r="B90">
        <v>2536</v>
      </c>
      <c r="C90">
        <v>2490.3000000000002</v>
      </c>
      <c r="E90">
        <f t="shared" si="15"/>
        <v>2507.4333333333334</v>
      </c>
      <c r="F90" s="3">
        <v>2490.3000000000002</v>
      </c>
      <c r="G90" s="3">
        <f t="shared" si="14"/>
        <v>2390.3000000000002</v>
      </c>
      <c r="H90">
        <v>2536</v>
      </c>
      <c r="I90" s="3">
        <f t="shared" si="16"/>
        <v>2463.15</v>
      </c>
      <c r="J90">
        <f t="shared" si="17"/>
        <v>2499.5749999999998</v>
      </c>
      <c r="K90">
        <f t="shared" si="18"/>
        <v>2479.5749999999998</v>
      </c>
      <c r="L90">
        <v>2536</v>
      </c>
      <c r="M90" s="3">
        <f t="shared" si="19"/>
        <v>2507.7874999999999</v>
      </c>
      <c r="N90" s="3">
        <f t="shared" si="20"/>
        <v>2506.7874999999999</v>
      </c>
    </row>
    <row r="91" spans="1:15" x14ac:dyDescent="0.25">
      <c r="A91">
        <v>2526</v>
      </c>
      <c r="B91">
        <v>2541</v>
      </c>
      <c r="C91">
        <v>2512.4</v>
      </c>
      <c r="E91">
        <f t="shared" si="15"/>
        <v>2526.4666666666667</v>
      </c>
      <c r="F91" s="3">
        <v>2512.4</v>
      </c>
      <c r="G91" s="3">
        <f t="shared" si="14"/>
        <v>2412.4</v>
      </c>
      <c r="H91">
        <v>2541</v>
      </c>
      <c r="I91" s="3">
        <f t="shared" si="16"/>
        <v>2476.6999999999998</v>
      </c>
      <c r="J91">
        <f t="shared" si="17"/>
        <v>2508.85</v>
      </c>
      <c r="K91">
        <f t="shared" si="18"/>
        <v>2488.85</v>
      </c>
      <c r="L91">
        <v>2541</v>
      </c>
      <c r="M91" s="3">
        <f t="shared" si="19"/>
        <v>2514.9250000000002</v>
      </c>
      <c r="N91" s="3">
        <f t="shared" si="20"/>
        <v>2513.9250000000002</v>
      </c>
    </row>
    <row r="92" spans="1:15" x14ac:dyDescent="0.25">
      <c r="A92">
        <v>2563</v>
      </c>
      <c r="B92">
        <v>2551</v>
      </c>
      <c r="C92">
        <v>2526.06</v>
      </c>
      <c r="E92">
        <f t="shared" si="15"/>
        <v>2546.6866666666665</v>
      </c>
      <c r="F92" s="3">
        <v>2526.06</v>
      </c>
      <c r="G92" s="3">
        <f t="shared" si="14"/>
        <v>2426.06</v>
      </c>
      <c r="H92">
        <v>2551</v>
      </c>
      <c r="I92" s="3">
        <f t="shared" si="16"/>
        <v>2488.5299999999997</v>
      </c>
      <c r="J92">
        <f t="shared" si="17"/>
        <v>2519.7649999999999</v>
      </c>
      <c r="K92">
        <f t="shared" si="18"/>
        <v>2499.7649999999999</v>
      </c>
      <c r="L92">
        <v>2551</v>
      </c>
      <c r="M92" s="3">
        <f t="shared" si="19"/>
        <v>2525.3824999999997</v>
      </c>
      <c r="N92" s="3">
        <f t="shared" si="20"/>
        <v>2524.3824999999997</v>
      </c>
    </row>
    <row r="93" spans="1:15" x14ac:dyDescent="0.25">
      <c r="A93">
        <v>2579</v>
      </c>
      <c r="B93">
        <v>2533</v>
      </c>
      <c r="C93">
        <v>2528.83</v>
      </c>
      <c r="E93">
        <f t="shared" si="15"/>
        <v>2546.9433333333332</v>
      </c>
      <c r="F93" s="3">
        <v>2528.83</v>
      </c>
      <c r="G93" s="3">
        <f t="shared" si="14"/>
        <v>2428.83</v>
      </c>
      <c r="H93">
        <v>2533</v>
      </c>
      <c r="I93" s="3">
        <f t="shared" si="16"/>
        <v>2480.915</v>
      </c>
      <c r="J93">
        <f t="shared" si="17"/>
        <v>2506.9575</v>
      </c>
      <c r="K93">
        <f t="shared" si="18"/>
        <v>2486.9575</v>
      </c>
      <c r="L93">
        <v>2533</v>
      </c>
      <c r="M93" s="3">
        <f t="shared" si="19"/>
        <v>2509.9787500000002</v>
      </c>
      <c r="N93" s="3">
        <f t="shared" si="20"/>
        <v>2508.9787500000002</v>
      </c>
    </row>
    <row r="94" spans="1:15" x14ac:dyDescent="0.25">
      <c r="A94">
        <v>2563</v>
      </c>
      <c r="B94">
        <v>2530</v>
      </c>
      <c r="C94">
        <v>2489.9</v>
      </c>
      <c r="E94">
        <f t="shared" si="15"/>
        <v>2527.6333333333332</v>
      </c>
      <c r="F94" s="3">
        <v>2489.9</v>
      </c>
      <c r="G94" s="3">
        <f t="shared" si="14"/>
        <v>2389.9</v>
      </c>
      <c r="H94">
        <v>2530</v>
      </c>
      <c r="I94" s="3">
        <f t="shared" si="16"/>
        <v>2459.9499999999998</v>
      </c>
      <c r="J94">
        <f t="shared" si="17"/>
        <v>2494.9749999999999</v>
      </c>
      <c r="K94">
        <f t="shared" si="18"/>
        <v>2474.9749999999999</v>
      </c>
      <c r="L94">
        <v>2530</v>
      </c>
      <c r="M94" s="3">
        <f t="shared" si="19"/>
        <v>2502.4875000000002</v>
      </c>
      <c r="N94" s="3">
        <f t="shared" si="20"/>
        <v>2501.4875000000002</v>
      </c>
    </row>
    <row r="95" spans="1:15" x14ac:dyDescent="0.25">
      <c r="A95">
        <v>2552</v>
      </c>
      <c r="B95">
        <v>2503</v>
      </c>
      <c r="C95">
        <v>2473.71</v>
      </c>
      <c r="E95">
        <f t="shared" si="15"/>
        <v>2509.5700000000002</v>
      </c>
      <c r="F95" s="3">
        <v>2473.71</v>
      </c>
      <c r="G95" s="3">
        <f t="shared" si="14"/>
        <v>2373.71</v>
      </c>
      <c r="H95">
        <v>2503</v>
      </c>
      <c r="I95" s="3">
        <f t="shared" si="16"/>
        <v>2438.355</v>
      </c>
      <c r="J95">
        <f t="shared" si="17"/>
        <v>2470.6774999999998</v>
      </c>
      <c r="K95">
        <f t="shared" si="18"/>
        <v>2450.6774999999998</v>
      </c>
      <c r="L95">
        <v>2503</v>
      </c>
      <c r="M95" s="3">
        <f t="shared" si="19"/>
        <v>2476.8387499999999</v>
      </c>
      <c r="N95" s="3">
        <f t="shared" si="20"/>
        <v>2475.8387499999999</v>
      </c>
    </row>
    <row r="96" spans="1:15" x14ac:dyDescent="0.25">
      <c r="A96">
        <v>2535</v>
      </c>
      <c r="B96">
        <v>2492</v>
      </c>
      <c r="C96">
        <v>2441.71</v>
      </c>
      <c r="E96">
        <f t="shared" si="15"/>
        <v>2489.5700000000002</v>
      </c>
      <c r="F96" s="3">
        <v>2441.71</v>
      </c>
      <c r="G96" s="3">
        <f t="shared" si="14"/>
        <v>2341.71</v>
      </c>
      <c r="H96">
        <v>2492</v>
      </c>
      <c r="I96" s="3">
        <f t="shared" si="16"/>
        <v>2416.855</v>
      </c>
      <c r="J96">
        <f t="shared" si="17"/>
        <v>2454.4274999999998</v>
      </c>
      <c r="K96">
        <f t="shared" si="18"/>
        <v>2434.4274999999998</v>
      </c>
      <c r="L96">
        <v>2492</v>
      </c>
      <c r="M96" s="3">
        <f t="shared" si="19"/>
        <v>2463.2137499999999</v>
      </c>
      <c r="N96" s="3">
        <f t="shared" si="20"/>
        <v>2462.2137499999999</v>
      </c>
    </row>
    <row r="97" spans="1:14" x14ac:dyDescent="0.25">
      <c r="A97" s="14">
        <f t="shared" ref="A97:N97" si="21">AVERAGE(A1:A96)*0.24</f>
        <v>553.87250000000006</v>
      </c>
      <c r="B97" s="14">
        <f t="shared" si="21"/>
        <v>523.46</v>
      </c>
      <c r="C97" s="14">
        <f t="shared" si="21"/>
        <v>562.50884999999994</v>
      </c>
      <c r="D97" s="14">
        <f t="shared" si="21"/>
        <v>533.59381818181816</v>
      </c>
      <c r="E97" s="14">
        <f t="shared" si="21"/>
        <v>544.71068958333342</v>
      </c>
      <c r="F97" s="14">
        <f t="shared" si="21"/>
        <v>562.50884999999994</v>
      </c>
      <c r="G97" s="14">
        <f t="shared" si="21"/>
        <v>544.13385000000005</v>
      </c>
      <c r="H97" s="14">
        <f t="shared" si="21"/>
        <v>523.46</v>
      </c>
      <c r="I97" s="14">
        <f t="shared" si="21"/>
        <v>533.79692499999987</v>
      </c>
      <c r="J97" s="14">
        <f t="shared" si="21"/>
        <v>528.62846249999984</v>
      </c>
      <c r="K97" s="14">
        <f t="shared" si="21"/>
        <v>523.82846249999989</v>
      </c>
      <c r="L97" s="14">
        <f t="shared" si="21"/>
        <v>523.46</v>
      </c>
      <c r="M97" s="14">
        <f t="shared" si="21"/>
        <v>523.64423124999985</v>
      </c>
      <c r="N97" s="14">
        <f t="shared" si="21"/>
        <v>523.40423124999984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99"/>
  <sheetViews>
    <sheetView workbookViewId="0">
      <selection activeCell="N23" sqref="N23:S99"/>
    </sheetView>
  </sheetViews>
  <sheetFormatPr defaultRowHeight="15" x14ac:dyDescent="0.25"/>
  <sheetData>
    <row r="3" spans="2:19" ht="15.75" x14ac:dyDescent="0.25">
      <c r="B3" s="3"/>
      <c r="C3" s="3"/>
      <c r="D3" s="3"/>
      <c r="E3" s="3"/>
      <c r="L3" s="3"/>
      <c r="N3" s="19">
        <v>2962.7022575149999</v>
      </c>
      <c r="O3" s="3">
        <v>2927</v>
      </c>
      <c r="P3" s="3">
        <v>2969.7</v>
      </c>
      <c r="Q3" s="3">
        <v>3053.89</v>
      </c>
      <c r="R3" s="3">
        <f t="shared" ref="R3:R34" si="0">MAX(N3:Q3)</f>
        <v>3053.89</v>
      </c>
      <c r="S3" s="3">
        <f t="shared" ref="S3:S34" si="1">R3-36</f>
        <v>3017.89</v>
      </c>
    </row>
    <row r="4" spans="2:19" ht="15.75" x14ac:dyDescent="0.25">
      <c r="B4" s="3"/>
      <c r="C4" s="3"/>
      <c r="D4" s="3"/>
      <c r="E4" s="3"/>
      <c r="L4" s="3"/>
      <c r="N4" s="19">
        <v>2936.2282990039998</v>
      </c>
      <c r="O4" s="3">
        <v>2899</v>
      </c>
      <c r="P4" s="3">
        <v>2916.05</v>
      </c>
      <c r="Q4" s="3">
        <v>3012.63</v>
      </c>
      <c r="R4" s="3">
        <f t="shared" si="0"/>
        <v>3012.63</v>
      </c>
      <c r="S4" s="3">
        <f t="shared" si="1"/>
        <v>2976.63</v>
      </c>
    </row>
    <row r="5" spans="2:19" ht="15.75" x14ac:dyDescent="0.25">
      <c r="B5" s="3"/>
      <c r="C5" s="3"/>
      <c r="D5" s="3"/>
      <c r="E5" s="3"/>
      <c r="L5" s="3"/>
      <c r="N5" s="19">
        <v>2911.0581540039998</v>
      </c>
      <c r="O5" s="3">
        <v>2876</v>
      </c>
      <c r="P5" s="3">
        <v>2891.29</v>
      </c>
      <c r="Q5" s="3">
        <v>2991</v>
      </c>
      <c r="R5" s="3">
        <f t="shared" si="0"/>
        <v>2991</v>
      </c>
      <c r="S5" s="3">
        <f t="shared" si="1"/>
        <v>2955</v>
      </c>
    </row>
    <row r="6" spans="2:19" ht="15.75" x14ac:dyDescent="0.25">
      <c r="B6" s="3"/>
      <c r="C6" s="3"/>
      <c r="D6" s="3"/>
      <c r="E6" s="3"/>
      <c r="L6" s="3"/>
      <c r="N6" s="19">
        <v>2890.0813551609999</v>
      </c>
      <c r="O6" s="3">
        <v>2858</v>
      </c>
      <c r="P6" s="3">
        <v>2884.93</v>
      </c>
      <c r="Q6" s="3">
        <v>2971.92</v>
      </c>
      <c r="R6" s="3">
        <f t="shared" si="0"/>
        <v>2971.92</v>
      </c>
      <c r="S6" s="3">
        <f t="shared" si="1"/>
        <v>2935.92</v>
      </c>
    </row>
    <row r="7" spans="2:19" ht="15.75" x14ac:dyDescent="0.25">
      <c r="B7" s="3"/>
      <c r="C7" s="3"/>
      <c r="D7" s="3"/>
      <c r="E7" s="3"/>
      <c r="L7" s="3"/>
      <c r="N7" s="19">
        <v>2847.0454412399999</v>
      </c>
      <c r="O7" s="3">
        <v>2817</v>
      </c>
      <c r="P7" s="3">
        <v>2839.89</v>
      </c>
      <c r="Q7" s="3">
        <v>2939.97</v>
      </c>
      <c r="R7" s="3">
        <f t="shared" si="0"/>
        <v>2939.97</v>
      </c>
      <c r="S7" s="3">
        <f t="shared" si="1"/>
        <v>2903.97</v>
      </c>
    </row>
    <row r="8" spans="2:19" ht="15.75" x14ac:dyDescent="0.25">
      <c r="B8" s="3"/>
      <c r="C8" s="3"/>
      <c r="D8" s="3"/>
      <c r="E8" s="3"/>
      <c r="L8" s="3"/>
      <c r="N8" s="19">
        <v>2829.5622585229994</v>
      </c>
      <c r="O8" s="3">
        <v>2801</v>
      </c>
      <c r="P8" s="3">
        <v>2825.39</v>
      </c>
      <c r="Q8" s="3">
        <v>2915.08</v>
      </c>
      <c r="R8" s="3">
        <f t="shared" si="0"/>
        <v>2915.08</v>
      </c>
      <c r="S8" s="3">
        <f t="shared" si="1"/>
        <v>2879.08</v>
      </c>
    </row>
    <row r="9" spans="2:19" ht="15.75" x14ac:dyDescent="0.25">
      <c r="B9" s="3"/>
      <c r="C9" s="3"/>
      <c r="D9" s="3"/>
      <c r="E9" s="3"/>
      <c r="L9" s="3"/>
      <c r="N9" s="19">
        <v>2814.1581297830003</v>
      </c>
      <c r="O9" s="3">
        <v>2784</v>
      </c>
      <c r="P9" s="3">
        <v>2808.02</v>
      </c>
      <c r="Q9" s="3">
        <v>2887.41</v>
      </c>
      <c r="R9" s="3">
        <f t="shared" si="0"/>
        <v>2887.41</v>
      </c>
      <c r="S9" s="3">
        <f t="shared" si="1"/>
        <v>2851.41</v>
      </c>
    </row>
    <row r="10" spans="2:19" ht="15.75" x14ac:dyDescent="0.25">
      <c r="B10" s="3"/>
      <c r="C10" s="3"/>
      <c r="D10" s="3"/>
      <c r="E10" s="3"/>
      <c r="L10" s="3"/>
      <c r="N10" s="19">
        <v>2765.5143075559995</v>
      </c>
      <c r="O10" s="3">
        <v>2739</v>
      </c>
      <c r="P10" s="3">
        <v>2762.52</v>
      </c>
      <c r="Q10" s="3">
        <v>2870.33</v>
      </c>
      <c r="R10" s="3">
        <f t="shared" si="0"/>
        <v>2870.33</v>
      </c>
      <c r="S10" s="3">
        <f t="shared" si="1"/>
        <v>2834.33</v>
      </c>
    </row>
    <row r="11" spans="2:19" ht="15.75" x14ac:dyDescent="0.25">
      <c r="B11" s="3"/>
      <c r="C11" s="3"/>
      <c r="D11" s="3"/>
      <c r="E11" s="3"/>
      <c r="L11" s="3"/>
      <c r="N11" s="19">
        <v>2723.1378514339995</v>
      </c>
      <c r="O11" s="3">
        <v>2701</v>
      </c>
      <c r="P11" s="3">
        <v>2734.43</v>
      </c>
      <c r="Q11" s="3">
        <v>2805.93</v>
      </c>
      <c r="R11" s="3">
        <f t="shared" si="0"/>
        <v>2805.93</v>
      </c>
      <c r="S11" s="3">
        <f t="shared" si="1"/>
        <v>2769.93</v>
      </c>
    </row>
    <row r="12" spans="2:19" ht="15.75" x14ac:dyDescent="0.25">
      <c r="B12" s="3"/>
      <c r="C12" s="3"/>
      <c r="D12" s="3"/>
      <c r="E12" s="3"/>
      <c r="L12" s="3"/>
      <c r="N12" s="19">
        <v>2754.0769936679994</v>
      </c>
      <c r="O12" s="3">
        <v>2731</v>
      </c>
      <c r="P12" s="3">
        <v>2764.11</v>
      </c>
      <c r="Q12" s="3">
        <v>2845.62</v>
      </c>
      <c r="R12" s="3">
        <f t="shared" si="0"/>
        <v>2845.62</v>
      </c>
      <c r="S12" s="3">
        <f t="shared" si="1"/>
        <v>2809.62</v>
      </c>
    </row>
    <row r="13" spans="2:19" ht="15.75" x14ac:dyDescent="0.25">
      <c r="B13" s="3"/>
      <c r="C13" s="3"/>
      <c r="D13" s="3"/>
      <c r="E13" s="3"/>
      <c r="L13" s="3"/>
      <c r="N13" s="19">
        <v>2754.6559070029998</v>
      </c>
      <c r="O13" s="3">
        <v>2727</v>
      </c>
      <c r="P13" s="3">
        <v>2776.29</v>
      </c>
      <c r="Q13" s="3">
        <v>2852.28</v>
      </c>
      <c r="R13" s="3">
        <f t="shared" si="0"/>
        <v>2852.28</v>
      </c>
      <c r="S13" s="3">
        <f t="shared" si="1"/>
        <v>2816.28</v>
      </c>
    </row>
    <row r="14" spans="2:19" ht="15.75" x14ac:dyDescent="0.25">
      <c r="B14" s="3"/>
      <c r="C14" s="3"/>
      <c r="D14" s="3"/>
      <c r="E14" s="3"/>
      <c r="L14" s="3"/>
      <c r="N14" s="19">
        <v>2737.9026584909998</v>
      </c>
      <c r="O14" s="3">
        <v>2709</v>
      </c>
      <c r="P14" s="3">
        <v>2744.77</v>
      </c>
      <c r="Q14" s="3">
        <v>2845.02</v>
      </c>
      <c r="R14" s="3">
        <f t="shared" si="0"/>
        <v>2845.02</v>
      </c>
      <c r="S14" s="3">
        <f t="shared" si="1"/>
        <v>2809.02</v>
      </c>
    </row>
    <row r="15" spans="2:19" ht="15.75" x14ac:dyDescent="0.25">
      <c r="B15" s="3"/>
      <c r="C15" s="3"/>
      <c r="D15" s="3"/>
      <c r="E15" s="3"/>
      <c r="L15" s="3"/>
      <c r="N15" s="19">
        <v>2824.9460539300003</v>
      </c>
      <c r="O15" s="3">
        <v>2801</v>
      </c>
      <c r="P15" s="3">
        <v>2836.55</v>
      </c>
      <c r="Q15" s="3">
        <v>2909.36</v>
      </c>
      <c r="R15" s="3">
        <f t="shared" si="0"/>
        <v>2909.36</v>
      </c>
      <c r="S15" s="3">
        <f t="shared" si="1"/>
        <v>2873.36</v>
      </c>
    </row>
    <row r="16" spans="2:19" ht="15.75" x14ac:dyDescent="0.25">
      <c r="B16" s="3"/>
      <c r="C16" s="3"/>
      <c r="D16" s="3"/>
      <c r="E16" s="3"/>
      <c r="L16" s="3"/>
      <c r="N16" s="19">
        <v>2815.5022155259994</v>
      </c>
      <c r="O16" s="3">
        <v>2793</v>
      </c>
      <c r="P16" s="3">
        <v>2823.45</v>
      </c>
      <c r="Q16" s="3">
        <v>2904.14</v>
      </c>
      <c r="R16" s="3">
        <f t="shared" si="0"/>
        <v>2904.14</v>
      </c>
      <c r="S16" s="3">
        <f t="shared" si="1"/>
        <v>2868.14</v>
      </c>
    </row>
    <row r="17" spans="2:19" ht="15.75" x14ac:dyDescent="0.25">
      <c r="B17" s="3"/>
      <c r="C17" s="3"/>
      <c r="D17" s="3"/>
      <c r="E17" s="3"/>
      <c r="L17" s="3"/>
      <c r="N17" s="19">
        <v>2803.0127895769997</v>
      </c>
      <c r="O17" s="3">
        <v>2782</v>
      </c>
      <c r="P17" s="3">
        <v>2811.18</v>
      </c>
      <c r="Q17" s="3">
        <v>2904.18</v>
      </c>
      <c r="R17" s="3">
        <f t="shared" si="0"/>
        <v>2904.18</v>
      </c>
      <c r="S17" s="3">
        <f t="shared" si="1"/>
        <v>2868.18</v>
      </c>
    </row>
    <row r="18" spans="2:19" ht="15.75" x14ac:dyDescent="0.25">
      <c r="B18" s="3"/>
      <c r="C18" s="3"/>
      <c r="D18" s="3"/>
      <c r="E18" s="3"/>
      <c r="L18" s="3"/>
      <c r="N18" s="19">
        <v>2827.4731364879999</v>
      </c>
      <c r="O18" s="3">
        <v>2807</v>
      </c>
      <c r="P18" s="3">
        <v>2838.38</v>
      </c>
      <c r="Q18" s="3">
        <v>2922.66</v>
      </c>
      <c r="R18" s="3">
        <f t="shared" si="0"/>
        <v>2922.66</v>
      </c>
      <c r="S18" s="3">
        <f t="shared" si="1"/>
        <v>2886.66</v>
      </c>
    </row>
    <row r="19" spans="2:19" ht="15.75" x14ac:dyDescent="0.25">
      <c r="B19" s="3"/>
      <c r="C19" s="3"/>
      <c r="D19" s="3"/>
      <c r="E19" s="3"/>
      <c r="L19" s="3"/>
      <c r="N19" s="19">
        <v>2832.693424561</v>
      </c>
      <c r="O19" s="3">
        <v>2815</v>
      </c>
      <c r="P19" s="3">
        <v>2852.45</v>
      </c>
      <c r="Q19" s="3">
        <v>2916.7</v>
      </c>
      <c r="R19" s="3">
        <f t="shared" si="0"/>
        <v>2916.7</v>
      </c>
      <c r="S19" s="3">
        <f t="shared" si="1"/>
        <v>2880.7</v>
      </c>
    </row>
    <row r="20" spans="2:19" ht="15.75" x14ac:dyDescent="0.25">
      <c r="B20" s="3"/>
      <c r="C20" s="3"/>
      <c r="D20" s="3"/>
      <c r="E20" s="3"/>
      <c r="L20" s="3"/>
      <c r="N20" s="19">
        <v>2850.106130872</v>
      </c>
      <c r="O20" s="3">
        <v>2830</v>
      </c>
      <c r="P20" s="3">
        <v>2865.22</v>
      </c>
      <c r="Q20" s="3">
        <v>2916.71</v>
      </c>
      <c r="R20" s="3">
        <f t="shared" si="0"/>
        <v>2916.71</v>
      </c>
      <c r="S20" s="3">
        <f t="shared" si="1"/>
        <v>2880.71</v>
      </c>
    </row>
    <row r="21" spans="2:19" ht="15.75" x14ac:dyDescent="0.25">
      <c r="B21" s="3"/>
      <c r="C21" s="3"/>
      <c r="D21" s="3"/>
      <c r="E21" s="3"/>
      <c r="L21" s="3"/>
      <c r="N21" s="19">
        <v>2853.9672311149998</v>
      </c>
      <c r="O21" s="3">
        <v>2836</v>
      </c>
      <c r="P21" s="3">
        <v>2872.89</v>
      </c>
      <c r="Q21" s="3">
        <v>2956</v>
      </c>
      <c r="R21" s="3">
        <f t="shared" si="0"/>
        <v>2956</v>
      </c>
      <c r="S21" s="3">
        <f t="shared" si="1"/>
        <v>2920</v>
      </c>
    </row>
    <row r="22" spans="2:19" ht="15.75" x14ac:dyDescent="0.25">
      <c r="B22" s="3"/>
      <c r="C22" s="3"/>
      <c r="D22" s="3"/>
      <c r="E22" s="3"/>
      <c r="L22" s="3"/>
      <c r="N22" s="19">
        <v>2859.1573150139998</v>
      </c>
      <c r="O22" s="3">
        <v>2843</v>
      </c>
      <c r="P22" s="3">
        <v>2873.26</v>
      </c>
      <c r="Q22" s="3">
        <v>2982.48</v>
      </c>
      <c r="R22" s="3">
        <f t="shared" si="0"/>
        <v>2982.48</v>
      </c>
      <c r="S22" s="3">
        <f t="shared" si="1"/>
        <v>2946.48</v>
      </c>
    </row>
    <row r="23" spans="2:19" ht="15.75" x14ac:dyDescent="0.25">
      <c r="B23" s="3"/>
      <c r="C23" s="3"/>
      <c r="D23" s="3"/>
      <c r="E23" s="3"/>
      <c r="L23" s="3"/>
      <c r="N23" s="19">
        <v>2906.4419494109998</v>
      </c>
      <c r="O23" s="3">
        <v>2888</v>
      </c>
      <c r="P23" s="3">
        <v>2926.98</v>
      </c>
      <c r="Q23" s="3">
        <v>3005.6</v>
      </c>
      <c r="R23" s="3">
        <f t="shared" si="0"/>
        <v>3005.6</v>
      </c>
      <c r="S23" s="3">
        <f t="shared" si="1"/>
        <v>2969.6</v>
      </c>
    </row>
    <row r="24" spans="2:19" ht="15.75" x14ac:dyDescent="0.25">
      <c r="B24" s="3"/>
      <c r="C24" s="3"/>
      <c r="D24" s="3"/>
      <c r="E24" s="3"/>
      <c r="L24" s="3"/>
      <c r="N24" s="19">
        <v>2942.2288615719999</v>
      </c>
      <c r="O24" s="3">
        <v>2927</v>
      </c>
      <c r="P24" s="3">
        <v>2961.7</v>
      </c>
      <c r="Q24" s="3">
        <v>3039.16</v>
      </c>
      <c r="R24" s="3">
        <f t="shared" si="0"/>
        <v>3039.16</v>
      </c>
      <c r="S24" s="3">
        <f t="shared" si="1"/>
        <v>3003.16</v>
      </c>
    </row>
    <row r="25" spans="2:19" ht="15.75" x14ac:dyDescent="0.25">
      <c r="B25" s="3"/>
      <c r="C25" s="3"/>
      <c r="D25" s="3"/>
      <c r="E25" s="3"/>
      <c r="L25" s="3"/>
      <c r="N25" s="19">
        <v>3023.6341445309999</v>
      </c>
      <c r="O25" s="3">
        <v>3005</v>
      </c>
      <c r="P25" s="3">
        <v>3038.32</v>
      </c>
      <c r="Q25" s="3">
        <v>3105.68</v>
      </c>
      <c r="R25" s="3">
        <f t="shared" si="0"/>
        <v>3105.68</v>
      </c>
      <c r="S25" s="3">
        <f t="shared" si="1"/>
        <v>3069.68</v>
      </c>
    </row>
    <row r="26" spans="2:19" ht="15.75" x14ac:dyDescent="0.25">
      <c r="B26" s="3"/>
      <c r="C26" s="3"/>
      <c r="D26" s="3"/>
      <c r="E26" s="3"/>
      <c r="L26" s="3"/>
      <c r="N26" s="19">
        <v>3066.9972703369999</v>
      </c>
      <c r="O26" s="3">
        <v>3049</v>
      </c>
      <c r="P26" s="3">
        <v>3081.76</v>
      </c>
      <c r="Q26" s="3">
        <v>3153.84</v>
      </c>
      <c r="R26" s="3">
        <f t="shared" si="0"/>
        <v>3153.84</v>
      </c>
      <c r="S26" s="3">
        <f t="shared" si="1"/>
        <v>3117.84</v>
      </c>
    </row>
    <row r="27" spans="2:19" ht="15.75" x14ac:dyDescent="0.25">
      <c r="B27" s="3"/>
      <c r="C27" s="3"/>
      <c r="D27" s="3"/>
      <c r="E27" s="3"/>
      <c r="L27" s="3"/>
      <c r="N27" s="19">
        <v>3103.6601035439999</v>
      </c>
      <c r="O27" s="3">
        <v>3081</v>
      </c>
      <c r="P27" s="3">
        <v>3116.69</v>
      </c>
      <c r="Q27" s="3">
        <v>3179.34</v>
      </c>
      <c r="R27" s="3">
        <f t="shared" si="0"/>
        <v>3179.34</v>
      </c>
      <c r="S27" s="3">
        <f t="shared" si="1"/>
        <v>3143.34</v>
      </c>
    </row>
    <row r="28" spans="2:19" ht="15.75" x14ac:dyDescent="0.25">
      <c r="B28" s="3"/>
      <c r="C28" s="3"/>
      <c r="D28" s="3"/>
      <c r="E28" s="3"/>
      <c r="L28" s="3"/>
      <c r="N28" s="19">
        <v>3175.7373307659996</v>
      </c>
      <c r="O28" s="3">
        <v>3154</v>
      </c>
      <c r="P28" s="3">
        <v>3183.1</v>
      </c>
      <c r="Q28" s="3">
        <v>3239.07</v>
      </c>
      <c r="R28" s="3">
        <f t="shared" si="0"/>
        <v>3239.07</v>
      </c>
      <c r="S28" s="3">
        <f t="shared" si="1"/>
        <v>3203.07</v>
      </c>
    </row>
    <row r="29" spans="2:19" ht="15.75" x14ac:dyDescent="0.25">
      <c r="B29" s="3"/>
      <c r="C29" s="3"/>
      <c r="D29" s="3"/>
      <c r="E29" s="3"/>
      <c r="L29" s="3"/>
      <c r="N29" s="19">
        <v>3286.2896416349995</v>
      </c>
      <c r="O29" s="3">
        <v>3271</v>
      </c>
      <c r="P29" s="3">
        <v>3280.32</v>
      </c>
      <c r="Q29" s="3">
        <v>3331.41</v>
      </c>
      <c r="R29" s="3">
        <f t="shared" si="0"/>
        <v>3331.41</v>
      </c>
      <c r="S29" s="3">
        <f t="shared" si="1"/>
        <v>3295.41</v>
      </c>
    </row>
    <row r="30" spans="2:19" ht="15.75" x14ac:dyDescent="0.25">
      <c r="B30" s="3"/>
      <c r="C30" s="3"/>
      <c r="D30" s="3"/>
      <c r="E30" s="3"/>
      <c r="L30" s="3"/>
      <c r="N30" s="19">
        <v>3405.7320477179996</v>
      </c>
      <c r="O30" s="3">
        <v>3395</v>
      </c>
      <c r="P30" s="3">
        <v>3405.59</v>
      </c>
      <c r="Q30" s="3">
        <v>3467.67</v>
      </c>
      <c r="R30" s="3">
        <f t="shared" si="0"/>
        <v>3467.67</v>
      </c>
      <c r="S30" s="3">
        <f t="shared" si="1"/>
        <v>3431.67</v>
      </c>
    </row>
    <row r="31" spans="2:19" ht="15.75" x14ac:dyDescent="0.25">
      <c r="B31" s="3"/>
      <c r="C31" s="3"/>
      <c r="D31" s="3"/>
      <c r="E31" s="3"/>
      <c r="L31" s="3"/>
      <c r="N31" s="19">
        <v>3730.2607952609997</v>
      </c>
      <c r="O31" s="3">
        <v>3728</v>
      </c>
      <c r="P31" s="3">
        <v>3734.24</v>
      </c>
      <c r="Q31" s="3">
        <v>3739.27</v>
      </c>
      <c r="R31" s="3">
        <f t="shared" si="0"/>
        <v>3739.27</v>
      </c>
      <c r="S31" s="3">
        <f t="shared" si="1"/>
        <v>3703.27</v>
      </c>
    </row>
    <row r="32" spans="2:19" ht="15.75" x14ac:dyDescent="0.25">
      <c r="B32" s="3"/>
      <c r="C32" s="3"/>
      <c r="D32" s="3"/>
      <c r="E32" s="3"/>
      <c r="L32" s="3"/>
      <c r="N32" s="19">
        <v>3945.5209093299995</v>
      </c>
      <c r="O32" s="3">
        <v>3953</v>
      </c>
      <c r="P32" s="3">
        <v>3951.7</v>
      </c>
      <c r="Q32" s="3">
        <v>4004.71</v>
      </c>
      <c r="R32" s="3">
        <f t="shared" si="0"/>
        <v>4004.71</v>
      </c>
      <c r="S32" s="3">
        <f t="shared" si="1"/>
        <v>3968.71</v>
      </c>
    </row>
    <row r="33" spans="2:19" ht="15.75" x14ac:dyDescent="0.25">
      <c r="B33" s="3"/>
      <c r="C33" s="3"/>
      <c r="D33" s="3"/>
      <c r="E33" s="3"/>
      <c r="L33" s="3"/>
      <c r="N33" s="19">
        <v>4100.1461440939993</v>
      </c>
      <c r="O33" s="3">
        <v>4120</v>
      </c>
      <c r="P33" s="3">
        <v>4092.86</v>
      </c>
      <c r="Q33" s="3">
        <v>4203.99</v>
      </c>
      <c r="R33" s="3">
        <f t="shared" si="0"/>
        <v>4203.99</v>
      </c>
      <c r="S33" s="3">
        <f t="shared" si="1"/>
        <v>4167.99</v>
      </c>
    </row>
    <row r="34" spans="2:19" ht="15.75" x14ac:dyDescent="0.25">
      <c r="B34" s="3"/>
      <c r="C34" s="3"/>
      <c r="D34" s="3"/>
      <c r="E34" s="3"/>
      <c r="L34" s="3"/>
      <c r="N34" s="19">
        <v>4215.5109866869989</v>
      </c>
      <c r="O34" s="3">
        <v>4240</v>
      </c>
      <c r="P34" s="3">
        <v>4197.03</v>
      </c>
      <c r="Q34" s="3"/>
      <c r="R34" s="3">
        <f t="shared" si="0"/>
        <v>4240</v>
      </c>
      <c r="S34" s="3">
        <f t="shared" si="1"/>
        <v>4204</v>
      </c>
    </row>
    <row r="35" spans="2:19" ht="15.75" x14ac:dyDescent="0.25">
      <c r="B35" s="3"/>
      <c r="C35" s="3"/>
      <c r="D35" s="3"/>
      <c r="E35" s="3"/>
      <c r="L35" s="3"/>
      <c r="N35" s="19">
        <v>4245.1966556999996</v>
      </c>
      <c r="O35" s="3">
        <v>4263</v>
      </c>
      <c r="P35" s="3">
        <v>4253</v>
      </c>
      <c r="Q35" s="3"/>
      <c r="R35" s="3">
        <f t="shared" ref="R35:R66" si="2">MAX(N35:Q35)</f>
        <v>4263</v>
      </c>
      <c r="S35" s="3">
        <f t="shared" ref="S35:S66" si="3">R35-36</f>
        <v>4227</v>
      </c>
    </row>
    <row r="36" spans="2:19" ht="15.75" x14ac:dyDescent="0.25">
      <c r="B36" s="3"/>
      <c r="C36" s="3"/>
      <c r="D36" s="3"/>
      <c r="E36" s="3"/>
      <c r="L36" s="3"/>
      <c r="N36" s="19">
        <v>4212.4754671999999</v>
      </c>
      <c r="O36" s="3">
        <v>4236</v>
      </c>
      <c r="P36" s="3">
        <v>4218</v>
      </c>
      <c r="Q36" s="3"/>
      <c r="R36" s="3">
        <f t="shared" si="2"/>
        <v>4236</v>
      </c>
      <c r="S36" s="3">
        <f t="shared" si="3"/>
        <v>4200</v>
      </c>
    </row>
    <row r="37" spans="2:19" ht="15.75" x14ac:dyDescent="0.25">
      <c r="B37" s="3"/>
      <c r="C37" s="3"/>
      <c r="D37" s="3"/>
      <c r="E37" s="3"/>
      <c r="L37" s="3"/>
      <c r="N37" s="19">
        <v>4424.4080881</v>
      </c>
      <c r="O37" s="3">
        <v>4447</v>
      </c>
      <c r="P37" s="3">
        <v>4432</v>
      </c>
      <c r="Q37" s="3"/>
      <c r="R37" s="3">
        <f t="shared" si="2"/>
        <v>4447</v>
      </c>
      <c r="S37" s="3">
        <f t="shared" si="3"/>
        <v>4411</v>
      </c>
    </row>
    <row r="38" spans="2:19" ht="15.75" x14ac:dyDescent="0.25">
      <c r="B38" s="3"/>
      <c r="C38" s="3"/>
      <c r="D38" s="3"/>
      <c r="E38" s="3"/>
      <c r="L38" s="3"/>
      <c r="N38" s="19">
        <v>4566.3677059000001</v>
      </c>
      <c r="O38" s="3">
        <v>4581</v>
      </c>
      <c r="P38" s="3">
        <v>4599</v>
      </c>
      <c r="Q38" s="3"/>
      <c r="R38" s="3">
        <f t="shared" si="2"/>
        <v>4599</v>
      </c>
      <c r="S38" s="3">
        <f t="shared" si="3"/>
        <v>4563</v>
      </c>
    </row>
    <row r="39" spans="2:19" ht="15.75" x14ac:dyDescent="0.25">
      <c r="B39" s="3"/>
      <c r="C39" s="3"/>
      <c r="D39" s="3"/>
      <c r="E39" s="3"/>
      <c r="L39" s="3"/>
      <c r="N39" s="19">
        <v>4607.6467437000001</v>
      </c>
      <c r="O39" s="3">
        <v>4622</v>
      </c>
      <c r="P39" s="3">
        <v>4681</v>
      </c>
      <c r="Q39" s="3"/>
      <c r="R39" s="3">
        <f t="shared" si="2"/>
        <v>4681</v>
      </c>
      <c r="S39" s="3">
        <f t="shared" si="3"/>
        <v>4645</v>
      </c>
    </row>
    <row r="40" spans="2:19" ht="15.75" x14ac:dyDescent="0.25">
      <c r="B40" s="3"/>
      <c r="C40" s="3"/>
      <c r="D40" s="3"/>
      <c r="E40" s="3"/>
      <c r="L40" s="3"/>
      <c r="N40" s="19">
        <v>4730.9804542000002</v>
      </c>
      <c r="O40" s="3">
        <v>4753</v>
      </c>
      <c r="P40" s="3">
        <v>4726</v>
      </c>
      <c r="Q40" s="3"/>
      <c r="R40" s="3">
        <f t="shared" si="2"/>
        <v>4753</v>
      </c>
      <c r="S40" s="3">
        <f t="shared" si="3"/>
        <v>4717</v>
      </c>
    </row>
    <row r="41" spans="2:19" ht="15.75" x14ac:dyDescent="0.25">
      <c r="B41" s="3"/>
      <c r="C41" s="3"/>
      <c r="D41" s="3"/>
      <c r="E41" s="3"/>
      <c r="L41" s="3"/>
      <c r="N41" s="19">
        <v>4734.0008715999993</v>
      </c>
      <c r="O41" s="3">
        <v>4783</v>
      </c>
      <c r="P41" s="3">
        <v>4749</v>
      </c>
      <c r="Q41" s="3"/>
      <c r="R41" s="3">
        <f t="shared" si="2"/>
        <v>4783</v>
      </c>
      <c r="S41" s="3">
        <f t="shared" si="3"/>
        <v>4747</v>
      </c>
    </row>
    <row r="42" spans="2:19" ht="15.75" x14ac:dyDescent="0.25">
      <c r="B42" s="3"/>
      <c r="C42" s="3"/>
      <c r="D42" s="3"/>
      <c r="E42" s="3"/>
      <c r="L42" s="3"/>
      <c r="N42" s="19">
        <v>4755.1437933999996</v>
      </c>
      <c r="O42" s="3">
        <v>4808</v>
      </c>
      <c r="P42" s="3">
        <v>4791</v>
      </c>
      <c r="Q42" s="3"/>
      <c r="R42" s="3">
        <f t="shared" si="2"/>
        <v>4808</v>
      </c>
      <c r="S42" s="3">
        <f t="shared" si="3"/>
        <v>4772</v>
      </c>
    </row>
    <row r="43" spans="2:19" ht="15.75" x14ac:dyDescent="0.25">
      <c r="B43" s="3"/>
      <c r="C43" s="3"/>
      <c r="D43" s="3"/>
      <c r="E43" s="3"/>
      <c r="L43" s="3"/>
      <c r="N43" s="19">
        <v>4767.3706079999993</v>
      </c>
      <c r="O43" s="3">
        <v>4817</v>
      </c>
      <c r="P43" s="3">
        <v>4763</v>
      </c>
      <c r="Q43" s="3"/>
      <c r="R43" s="3">
        <f t="shared" si="2"/>
        <v>4817</v>
      </c>
      <c r="S43" s="3">
        <f t="shared" si="3"/>
        <v>4781</v>
      </c>
    </row>
    <row r="44" spans="2:19" ht="15.75" x14ac:dyDescent="0.25">
      <c r="B44" s="3"/>
      <c r="C44" s="3"/>
      <c r="D44" s="3"/>
      <c r="E44" s="3"/>
      <c r="L44" s="3"/>
      <c r="N44" s="19">
        <v>4767.3706079999993</v>
      </c>
      <c r="O44" s="3">
        <v>4798</v>
      </c>
      <c r="P44" s="3">
        <v>4720</v>
      </c>
      <c r="Q44" s="3"/>
      <c r="R44" s="3">
        <f t="shared" si="2"/>
        <v>4798</v>
      </c>
      <c r="S44" s="3">
        <f t="shared" si="3"/>
        <v>4762</v>
      </c>
    </row>
    <row r="45" spans="2:19" ht="15.75" x14ac:dyDescent="0.25">
      <c r="B45" s="3"/>
      <c r="C45" s="3"/>
      <c r="D45" s="3"/>
      <c r="E45" s="3"/>
      <c r="L45" s="3"/>
      <c r="N45" s="19">
        <v>4724.4303406299996</v>
      </c>
      <c r="O45" s="3">
        <v>4755</v>
      </c>
      <c r="P45" s="3">
        <v>4679</v>
      </c>
      <c r="Q45" s="3"/>
      <c r="R45" s="3">
        <f t="shared" si="2"/>
        <v>4755</v>
      </c>
      <c r="S45" s="3">
        <f t="shared" si="3"/>
        <v>4719</v>
      </c>
    </row>
    <row r="46" spans="2:19" ht="15.75" x14ac:dyDescent="0.25">
      <c r="B46" s="3"/>
      <c r="C46" s="3"/>
      <c r="D46" s="3"/>
      <c r="E46" s="3"/>
      <c r="L46" s="3"/>
      <c r="N46" s="19">
        <v>4691.1050686500002</v>
      </c>
      <c r="O46" s="3">
        <v>4708</v>
      </c>
      <c r="P46" s="3">
        <v>4631</v>
      </c>
      <c r="Q46" s="3"/>
      <c r="R46" s="3">
        <f t="shared" si="2"/>
        <v>4708</v>
      </c>
      <c r="S46" s="3">
        <f t="shared" si="3"/>
        <v>4672</v>
      </c>
    </row>
    <row r="47" spans="2:19" ht="15.75" x14ac:dyDescent="0.25">
      <c r="B47" s="3"/>
      <c r="C47" s="3"/>
      <c r="D47" s="3"/>
      <c r="E47" s="3"/>
      <c r="L47" s="3"/>
      <c r="N47" s="19">
        <v>4639.1740254859997</v>
      </c>
      <c r="O47" s="3">
        <v>4653</v>
      </c>
      <c r="P47" s="3">
        <v>4582</v>
      </c>
      <c r="Q47" s="3"/>
      <c r="R47" s="3">
        <f t="shared" si="2"/>
        <v>4653</v>
      </c>
      <c r="S47" s="3">
        <f t="shared" si="3"/>
        <v>4617</v>
      </c>
    </row>
    <row r="48" spans="2:19" ht="15.75" x14ac:dyDescent="0.25">
      <c r="B48" s="3"/>
      <c r="C48" s="3"/>
      <c r="D48" s="3"/>
      <c r="E48" s="3"/>
      <c r="L48" s="3"/>
      <c r="N48" s="19">
        <v>4576.0573698839989</v>
      </c>
      <c r="O48" s="3">
        <v>4627</v>
      </c>
      <c r="P48" s="3">
        <v>4612</v>
      </c>
      <c r="Q48" s="3"/>
      <c r="R48" s="3">
        <f t="shared" si="2"/>
        <v>4627</v>
      </c>
      <c r="S48" s="3">
        <f t="shared" si="3"/>
        <v>4591</v>
      </c>
    </row>
    <row r="49" spans="2:19" ht="15.75" x14ac:dyDescent="0.25">
      <c r="B49" s="3"/>
      <c r="C49" s="3"/>
      <c r="D49" s="3"/>
      <c r="E49" s="3"/>
      <c r="L49" s="3"/>
      <c r="N49" s="19">
        <v>4520.6629147679996</v>
      </c>
      <c r="O49" s="3">
        <v>4537</v>
      </c>
      <c r="P49" s="3">
        <v>4483</v>
      </c>
      <c r="Q49" s="3"/>
      <c r="R49" s="3">
        <f t="shared" si="2"/>
        <v>4537</v>
      </c>
      <c r="S49" s="3">
        <f t="shared" si="3"/>
        <v>4501</v>
      </c>
    </row>
    <row r="50" spans="2:19" ht="15.75" x14ac:dyDescent="0.25">
      <c r="B50" s="3"/>
      <c r="C50" s="3"/>
      <c r="D50" s="3"/>
      <c r="E50" s="3"/>
      <c r="L50" s="3"/>
      <c r="N50" s="19">
        <v>4474.5411410699999</v>
      </c>
      <c r="O50" s="3">
        <v>4485</v>
      </c>
      <c r="P50" s="3">
        <v>4434.2700000000004</v>
      </c>
      <c r="Q50" s="3"/>
      <c r="R50" s="3">
        <f t="shared" si="2"/>
        <v>4485</v>
      </c>
      <c r="S50" s="3">
        <f t="shared" si="3"/>
        <v>4449</v>
      </c>
    </row>
    <row r="51" spans="2:19" ht="15.75" x14ac:dyDescent="0.25">
      <c r="B51" s="3"/>
      <c r="C51" s="3"/>
      <c r="D51" s="3"/>
      <c r="E51" s="3"/>
      <c r="L51" s="3"/>
      <c r="N51" s="19">
        <v>4428.2180062120005</v>
      </c>
      <c r="O51" s="3">
        <v>4338</v>
      </c>
      <c r="P51" s="3">
        <v>4213.54</v>
      </c>
      <c r="Q51" s="3"/>
      <c r="R51" s="3">
        <f t="shared" si="2"/>
        <v>4428.2180062120005</v>
      </c>
      <c r="S51" s="3">
        <f t="shared" si="3"/>
        <v>4392.2180062120005</v>
      </c>
    </row>
    <row r="52" spans="2:19" ht="15.75" x14ac:dyDescent="0.25">
      <c r="B52" s="3"/>
      <c r="C52" s="3"/>
      <c r="D52" s="3"/>
      <c r="E52" s="3"/>
      <c r="L52" s="3"/>
      <c r="N52" s="19">
        <v>4380.787384973999</v>
      </c>
      <c r="O52" s="3">
        <v>4279</v>
      </c>
      <c r="P52" s="3">
        <v>4132.5</v>
      </c>
      <c r="Q52" s="3"/>
      <c r="R52" s="3">
        <f t="shared" si="2"/>
        <v>4380.787384973999</v>
      </c>
      <c r="S52" s="3">
        <f t="shared" si="3"/>
        <v>4344.787384973999</v>
      </c>
    </row>
    <row r="53" spans="2:19" ht="15.75" x14ac:dyDescent="0.25">
      <c r="B53" s="3"/>
      <c r="C53" s="3"/>
      <c r="D53" s="3"/>
      <c r="E53" s="3"/>
      <c r="L53" s="3"/>
      <c r="N53" s="19">
        <v>4344.8746220879993</v>
      </c>
      <c r="O53" s="3">
        <v>4246</v>
      </c>
      <c r="P53" s="3">
        <v>4107.1499999999996</v>
      </c>
      <c r="Q53" s="3"/>
      <c r="R53" s="3">
        <f t="shared" si="2"/>
        <v>4344.8746220879993</v>
      </c>
      <c r="S53" s="3">
        <f t="shared" si="3"/>
        <v>4308.8746220879993</v>
      </c>
    </row>
    <row r="54" spans="2:19" ht="15.75" x14ac:dyDescent="0.25">
      <c r="B54" s="3"/>
      <c r="C54" s="3"/>
      <c r="D54" s="3"/>
      <c r="E54" s="3"/>
      <c r="L54" s="3"/>
      <c r="N54" s="19">
        <v>4296.7996451379995</v>
      </c>
      <c r="O54" s="3">
        <v>4182</v>
      </c>
      <c r="P54" s="3">
        <v>4046.06</v>
      </c>
      <c r="Q54" s="3"/>
      <c r="R54" s="3">
        <f t="shared" si="2"/>
        <v>4296.7996451379995</v>
      </c>
      <c r="S54" s="3">
        <f t="shared" si="3"/>
        <v>4260.7996451379995</v>
      </c>
    </row>
    <row r="55" spans="2:19" ht="15.75" x14ac:dyDescent="0.25">
      <c r="B55" s="3"/>
      <c r="C55" s="3"/>
      <c r="D55" s="3"/>
      <c r="E55" s="3"/>
      <c r="L55" s="3"/>
      <c r="N55" s="19">
        <v>4386.9490364699996</v>
      </c>
      <c r="O55" s="3">
        <v>4376</v>
      </c>
      <c r="P55" s="3">
        <v>4335.9799999999996</v>
      </c>
      <c r="Q55" s="3"/>
      <c r="R55" s="3">
        <f t="shared" si="2"/>
        <v>4386.9490364699996</v>
      </c>
      <c r="S55" s="3">
        <f t="shared" si="3"/>
        <v>4350.9490364699996</v>
      </c>
    </row>
    <row r="56" spans="2:19" ht="15.75" x14ac:dyDescent="0.25">
      <c r="B56" s="3"/>
      <c r="C56" s="3"/>
      <c r="D56" s="3"/>
      <c r="E56" s="3"/>
      <c r="L56" s="3"/>
      <c r="N56" s="19">
        <v>4375.380837828</v>
      </c>
      <c r="O56" s="3">
        <v>4366</v>
      </c>
      <c r="P56" s="3">
        <v>4329.82</v>
      </c>
      <c r="Q56" s="3"/>
      <c r="R56" s="3">
        <f t="shared" si="2"/>
        <v>4375.380837828</v>
      </c>
      <c r="S56" s="3">
        <f t="shared" si="3"/>
        <v>4339.380837828</v>
      </c>
    </row>
    <row r="57" spans="2:19" ht="15.75" x14ac:dyDescent="0.25">
      <c r="B57" s="3"/>
      <c r="C57" s="3"/>
      <c r="D57" s="3"/>
      <c r="E57" s="3"/>
      <c r="L57" s="3"/>
      <c r="N57" s="19">
        <v>4327.7891276620003</v>
      </c>
      <c r="O57" s="3">
        <v>4321</v>
      </c>
      <c r="P57" s="3">
        <v>4301</v>
      </c>
      <c r="Q57" s="3"/>
      <c r="R57" s="3">
        <f t="shared" si="2"/>
        <v>4327.7891276620003</v>
      </c>
      <c r="S57" s="3">
        <f t="shared" si="3"/>
        <v>4291.7891276620003</v>
      </c>
    </row>
    <row r="58" spans="2:19" ht="15.75" x14ac:dyDescent="0.25">
      <c r="B58" s="3"/>
      <c r="C58" s="3"/>
      <c r="D58" s="3"/>
      <c r="E58" s="3"/>
      <c r="L58" s="3"/>
      <c r="N58" s="19">
        <v>4334.2930931299998</v>
      </c>
      <c r="O58" s="3">
        <v>4309</v>
      </c>
      <c r="P58" s="3">
        <v>4272.21</v>
      </c>
      <c r="Q58" s="3"/>
      <c r="R58" s="3">
        <f t="shared" si="2"/>
        <v>4334.2930931299998</v>
      </c>
      <c r="S58" s="3">
        <f t="shared" si="3"/>
        <v>4298.2930931299998</v>
      </c>
    </row>
    <row r="59" spans="2:19" ht="15.75" x14ac:dyDescent="0.25">
      <c r="B59" s="3"/>
      <c r="C59" s="3"/>
      <c r="D59" s="3"/>
      <c r="E59" s="3"/>
      <c r="L59" s="3"/>
      <c r="N59" s="19">
        <v>4312.1735697039994</v>
      </c>
      <c r="O59" s="3">
        <v>4259</v>
      </c>
      <c r="P59" s="3">
        <v>4206.26</v>
      </c>
      <c r="Q59" s="3"/>
      <c r="R59" s="3">
        <f t="shared" si="2"/>
        <v>4312.1735697039994</v>
      </c>
      <c r="S59" s="3">
        <f t="shared" si="3"/>
        <v>4276.1735697039994</v>
      </c>
    </row>
    <row r="60" spans="2:19" ht="15.75" x14ac:dyDescent="0.25">
      <c r="B60" s="3"/>
      <c r="C60" s="3"/>
      <c r="D60" s="3"/>
      <c r="E60" s="3"/>
      <c r="L60" s="3"/>
      <c r="N60" s="19">
        <v>4281.7638423559993</v>
      </c>
      <c r="O60" s="3">
        <v>4219</v>
      </c>
      <c r="P60" s="3">
        <v>4178.08</v>
      </c>
      <c r="Q60" s="3"/>
      <c r="R60" s="3">
        <f t="shared" si="2"/>
        <v>4281.7638423559993</v>
      </c>
      <c r="S60" s="3">
        <f t="shared" si="3"/>
        <v>4245.7638423559993</v>
      </c>
    </row>
    <row r="61" spans="2:19" ht="15.75" x14ac:dyDescent="0.25">
      <c r="B61" s="3"/>
      <c r="C61" s="3"/>
      <c r="D61" s="3"/>
      <c r="E61" s="3"/>
      <c r="L61" s="3"/>
      <c r="N61" s="19">
        <v>4223.4295143039999</v>
      </c>
      <c r="O61" s="3">
        <v>4196</v>
      </c>
      <c r="P61" s="3">
        <v>4181.62</v>
      </c>
      <c r="Q61" s="3"/>
      <c r="R61" s="3">
        <f t="shared" si="2"/>
        <v>4223.4295143039999</v>
      </c>
      <c r="S61" s="3">
        <f t="shared" si="3"/>
        <v>4187.4295143039999</v>
      </c>
    </row>
    <row r="62" spans="2:19" ht="15.75" x14ac:dyDescent="0.25">
      <c r="B62" s="3"/>
      <c r="C62" s="3"/>
      <c r="D62" s="3"/>
      <c r="E62" s="3"/>
      <c r="L62" s="3"/>
      <c r="N62" s="19">
        <v>4224.5571367999992</v>
      </c>
      <c r="O62" s="3">
        <v>4191</v>
      </c>
      <c r="P62" s="3">
        <v>4179.01</v>
      </c>
      <c r="Q62" s="3"/>
      <c r="R62" s="3">
        <f t="shared" si="2"/>
        <v>4224.5571367999992</v>
      </c>
      <c r="S62" s="3">
        <f t="shared" si="3"/>
        <v>4188.5571367999992</v>
      </c>
    </row>
    <row r="63" spans="2:19" ht="15.75" x14ac:dyDescent="0.25">
      <c r="B63" s="3"/>
      <c r="C63" s="3"/>
      <c r="D63" s="3"/>
      <c r="E63" s="3"/>
      <c r="L63" s="3"/>
      <c r="N63" s="19">
        <v>4195.3597685999994</v>
      </c>
      <c r="O63" s="3">
        <v>4169</v>
      </c>
      <c r="P63" s="3">
        <v>4162.04</v>
      </c>
      <c r="Q63" s="3"/>
      <c r="R63" s="3">
        <f t="shared" si="2"/>
        <v>4195.3597685999994</v>
      </c>
      <c r="S63" s="3">
        <f t="shared" si="3"/>
        <v>4159.3597685999994</v>
      </c>
    </row>
    <row r="64" spans="2:19" ht="15.75" x14ac:dyDescent="0.25">
      <c r="B64" s="3"/>
      <c r="C64" s="3"/>
      <c r="D64" s="3"/>
      <c r="E64" s="3"/>
      <c r="L64" s="3"/>
      <c r="N64" s="19">
        <v>4194.2623502779988</v>
      </c>
      <c r="O64" s="3">
        <v>4191</v>
      </c>
      <c r="P64" s="3">
        <v>4201.13</v>
      </c>
      <c r="Q64" s="3"/>
      <c r="R64" s="3">
        <f t="shared" si="2"/>
        <v>4201.13</v>
      </c>
      <c r="S64" s="3">
        <f t="shared" si="3"/>
        <v>4165.13</v>
      </c>
    </row>
    <row r="65" spans="2:19" ht="15.75" x14ac:dyDescent="0.25">
      <c r="B65" s="3"/>
      <c r="C65" s="3"/>
      <c r="D65" s="3"/>
      <c r="E65" s="3"/>
      <c r="L65" s="3"/>
      <c r="N65" s="19">
        <v>4196.3766424579999</v>
      </c>
      <c r="O65" s="3">
        <v>4190</v>
      </c>
      <c r="P65" s="3">
        <v>4207.79</v>
      </c>
      <c r="Q65" s="3"/>
      <c r="R65" s="3">
        <f t="shared" si="2"/>
        <v>4207.79</v>
      </c>
      <c r="S65" s="3">
        <f t="shared" si="3"/>
        <v>4171.79</v>
      </c>
    </row>
    <row r="66" spans="2:19" ht="15.75" x14ac:dyDescent="0.25">
      <c r="B66" s="3"/>
      <c r="C66" s="3"/>
      <c r="D66" s="3"/>
      <c r="E66" s="3"/>
      <c r="L66" s="3"/>
      <c r="N66" s="19">
        <v>4207.0185797639997</v>
      </c>
      <c r="O66" s="3">
        <v>4201</v>
      </c>
      <c r="P66" s="3">
        <v>4216.2</v>
      </c>
      <c r="Q66" s="3"/>
      <c r="R66" s="3">
        <f t="shared" si="2"/>
        <v>4216.2</v>
      </c>
      <c r="S66" s="3">
        <f t="shared" si="3"/>
        <v>4180.2</v>
      </c>
    </row>
    <row r="67" spans="2:19" ht="15.75" x14ac:dyDescent="0.25">
      <c r="B67" s="3"/>
      <c r="C67" s="3"/>
      <c r="D67" s="3"/>
      <c r="E67" s="3"/>
      <c r="L67" s="3"/>
      <c r="N67" s="19">
        <v>4174.2671870899994</v>
      </c>
      <c r="O67" s="3">
        <v>4207</v>
      </c>
      <c r="P67" s="3">
        <v>4262.3100000000004</v>
      </c>
      <c r="Q67" s="3"/>
      <c r="R67" s="3">
        <f t="shared" ref="R67:R98" si="4">MAX(N67:Q67)</f>
        <v>4262.3100000000004</v>
      </c>
      <c r="S67" s="3">
        <f t="shared" ref="S67:S98" si="5">R67-36</f>
        <v>4226.3100000000004</v>
      </c>
    </row>
    <row r="68" spans="2:19" ht="15.75" x14ac:dyDescent="0.25">
      <c r="B68" s="3"/>
      <c r="C68" s="3"/>
      <c r="D68" s="3"/>
      <c r="E68" s="3"/>
      <c r="L68" s="3"/>
      <c r="N68" s="19">
        <v>4210.6430806440003</v>
      </c>
      <c r="O68" s="3">
        <v>4239</v>
      </c>
      <c r="P68" s="3">
        <v>4295.1899999999996</v>
      </c>
      <c r="Q68" s="3"/>
      <c r="R68" s="3">
        <f t="shared" si="4"/>
        <v>4295.1899999999996</v>
      </c>
      <c r="S68" s="3">
        <f t="shared" si="5"/>
        <v>4259.1899999999996</v>
      </c>
    </row>
    <row r="69" spans="2:19" ht="15.75" x14ac:dyDescent="0.25">
      <c r="B69" s="3"/>
      <c r="C69" s="3"/>
      <c r="D69" s="3"/>
      <c r="E69" s="3"/>
      <c r="L69" s="3"/>
      <c r="N69" s="19">
        <v>4207.3407576199988</v>
      </c>
      <c r="O69" s="3">
        <v>4260</v>
      </c>
      <c r="P69" s="3">
        <v>4346.7</v>
      </c>
      <c r="Q69" s="3"/>
      <c r="R69" s="3">
        <f t="shared" si="4"/>
        <v>4346.7</v>
      </c>
      <c r="S69" s="3">
        <f t="shared" si="5"/>
        <v>4310.7</v>
      </c>
    </row>
    <row r="70" spans="2:19" ht="15.75" x14ac:dyDescent="0.25">
      <c r="B70" s="3"/>
      <c r="C70" s="3"/>
      <c r="D70" s="3"/>
      <c r="E70" s="3"/>
      <c r="L70" s="3"/>
      <c r="N70" s="19">
        <v>4234.6251947999999</v>
      </c>
      <c r="O70" s="3">
        <v>4285</v>
      </c>
      <c r="P70" s="3">
        <v>4357.68</v>
      </c>
      <c r="Q70" s="3"/>
      <c r="R70" s="3">
        <f t="shared" si="4"/>
        <v>4357.68</v>
      </c>
      <c r="S70" s="3">
        <f t="shared" si="5"/>
        <v>4321.68</v>
      </c>
    </row>
    <row r="71" spans="2:19" ht="15.75" x14ac:dyDescent="0.25">
      <c r="B71" s="3"/>
      <c r="C71" s="3"/>
      <c r="D71" s="3"/>
      <c r="E71" s="3"/>
      <c r="L71" s="3"/>
      <c r="N71" s="19">
        <v>4285.9722905999997</v>
      </c>
      <c r="O71" s="3">
        <v>4328</v>
      </c>
      <c r="P71" s="3">
        <v>4398.7299999999996</v>
      </c>
      <c r="Q71" s="3"/>
      <c r="R71" s="3">
        <f t="shared" si="4"/>
        <v>4398.7299999999996</v>
      </c>
      <c r="S71" s="3">
        <f t="shared" si="5"/>
        <v>4362.7299999999996</v>
      </c>
    </row>
    <row r="72" spans="2:19" ht="15.75" x14ac:dyDescent="0.25">
      <c r="B72" s="3"/>
      <c r="C72" s="3"/>
      <c r="D72" s="3"/>
      <c r="E72" s="3"/>
      <c r="L72" s="3"/>
      <c r="N72" s="19">
        <v>4330.2012693940005</v>
      </c>
      <c r="O72" s="3">
        <v>4362</v>
      </c>
      <c r="P72" s="3">
        <v>4428.55</v>
      </c>
      <c r="Q72" s="3"/>
      <c r="R72" s="3">
        <f t="shared" si="4"/>
        <v>4428.55</v>
      </c>
      <c r="S72" s="3">
        <f t="shared" si="5"/>
        <v>4392.55</v>
      </c>
    </row>
    <row r="73" spans="2:19" ht="15.75" x14ac:dyDescent="0.25">
      <c r="B73" s="3"/>
      <c r="C73" s="3"/>
      <c r="D73" s="3"/>
      <c r="E73" s="3"/>
      <c r="L73" s="3"/>
      <c r="N73" s="19">
        <v>4353.1463735759999</v>
      </c>
      <c r="O73" s="3">
        <v>4382</v>
      </c>
      <c r="P73" s="3">
        <v>4428.7</v>
      </c>
      <c r="Q73" s="3"/>
      <c r="R73" s="3">
        <f t="shared" si="4"/>
        <v>4428.7</v>
      </c>
      <c r="S73" s="3">
        <f t="shared" si="5"/>
        <v>4392.7</v>
      </c>
    </row>
    <row r="74" spans="2:19" ht="15.75" x14ac:dyDescent="0.25">
      <c r="B74" s="3"/>
      <c r="C74" s="3"/>
      <c r="D74" s="3"/>
      <c r="E74" s="3"/>
      <c r="L74" s="3"/>
      <c r="N74" s="19">
        <v>4342.0614417179995</v>
      </c>
      <c r="O74" s="3">
        <v>4370</v>
      </c>
      <c r="P74" s="3">
        <v>4409.41</v>
      </c>
      <c r="Q74" s="3"/>
      <c r="R74" s="3">
        <f t="shared" si="4"/>
        <v>4409.41</v>
      </c>
      <c r="S74" s="3">
        <f t="shared" si="5"/>
        <v>4373.41</v>
      </c>
    </row>
    <row r="75" spans="2:19" ht="15.75" x14ac:dyDescent="0.25">
      <c r="B75" s="3"/>
      <c r="C75" s="3"/>
      <c r="D75" s="3"/>
      <c r="E75" s="3"/>
      <c r="L75" s="3"/>
      <c r="N75" s="19">
        <v>4101.0019290239998</v>
      </c>
      <c r="O75" s="3">
        <v>4120</v>
      </c>
      <c r="P75" s="3">
        <v>4174.8500000000004</v>
      </c>
      <c r="Q75" s="3"/>
      <c r="R75" s="3">
        <f t="shared" si="4"/>
        <v>4174.8500000000004</v>
      </c>
      <c r="S75" s="3">
        <f t="shared" si="5"/>
        <v>4138.8500000000004</v>
      </c>
    </row>
    <row r="76" spans="2:19" ht="15.75" x14ac:dyDescent="0.25">
      <c r="B76" s="3"/>
      <c r="C76" s="3"/>
      <c r="D76" s="3"/>
      <c r="E76" s="3"/>
      <c r="L76" s="3"/>
      <c r="N76" s="19">
        <v>3554.0144059419995</v>
      </c>
      <c r="O76" s="3">
        <v>3533</v>
      </c>
      <c r="P76" s="3">
        <v>3580.69</v>
      </c>
      <c r="Q76" s="3"/>
      <c r="R76" s="3">
        <f t="shared" si="4"/>
        <v>3580.69</v>
      </c>
      <c r="S76" s="3">
        <f t="shared" si="5"/>
        <v>3544.69</v>
      </c>
    </row>
    <row r="77" spans="2:19" ht="15.75" x14ac:dyDescent="0.25">
      <c r="B77" s="3"/>
      <c r="C77" s="3"/>
      <c r="D77" s="3"/>
      <c r="E77" s="3"/>
      <c r="L77" s="3"/>
      <c r="N77" s="19">
        <v>3350.8309274439994</v>
      </c>
      <c r="O77" s="3">
        <v>3365</v>
      </c>
      <c r="P77" s="3">
        <v>3439.68</v>
      </c>
      <c r="Q77" s="3"/>
      <c r="R77" s="3">
        <f t="shared" si="4"/>
        <v>3439.68</v>
      </c>
      <c r="S77" s="3">
        <f t="shared" si="5"/>
        <v>3403.68</v>
      </c>
    </row>
    <row r="78" spans="2:19" ht="15.75" x14ac:dyDescent="0.25">
      <c r="B78" s="3"/>
      <c r="C78" s="3"/>
      <c r="D78" s="3"/>
      <c r="E78" s="3"/>
      <c r="L78" s="3"/>
      <c r="N78" s="19">
        <v>3156.1750940719999</v>
      </c>
      <c r="O78" s="3">
        <v>3168</v>
      </c>
      <c r="P78" s="3">
        <v>3237.79</v>
      </c>
      <c r="Q78" s="3"/>
      <c r="R78" s="3">
        <f t="shared" si="4"/>
        <v>3237.79</v>
      </c>
      <c r="S78" s="3">
        <f t="shared" si="5"/>
        <v>3201.79</v>
      </c>
    </row>
    <row r="79" spans="2:19" ht="16.5" thickBot="1" x14ac:dyDescent="0.3">
      <c r="B79" s="18" t="e">
        <f>AVERAGE(B3:B78)*0.24</f>
        <v>#DIV/0!</v>
      </c>
      <c r="C79" s="18" t="e">
        <f>AVERAGE(C3:C78)*0.24</f>
        <v>#DIV/0!</v>
      </c>
      <c r="D79" s="18" t="e">
        <f>AVERAGE(D3:D78)*0.24</f>
        <v>#DIV/0!</v>
      </c>
      <c r="E79" s="18" t="e">
        <f>AVERAGE(E3:E78)*0.24</f>
        <v>#DIV/0!</v>
      </c>
      <c r="L79" s="18" t="e">
        <f>AVERAGE(L3:L78)*0.24</f>
        <v>#DIV/0!</v>
      </c>
      <c r="N79" s="19">
        <v>3162.0649080019998</v>
      </c>
      <c r="O79" s="3">
        <v>3175</v>
      </c>
      <c r="P79" s="3">
        <v>3248.56</v>
      </c>
      <c r="Q79" s="3"/>
      <c r="R79" s="3">
        <f t="shared" si="4"/>
        <v>3248.56</v>
      </c>
      <c r="S79" s="3">
        <f t="shared" si="5"/>
        <v>3212.56</v>
      </c>
    </row>
    <row r="80" spans="2:19" ht="15.75" x14ac:dyDescent="0.25">
      <c r="N80" s="19">
        <v>3174.1566456599994</v>
      </c>
      <c r="O80" s="3">
        <v>3154</v>
      </c>
      <c r="P80" s="3">
        <v>3192.23</v>
      </c>
      <c r="Q80" s="3"/>
      <c r="R80" s="3">
        <f t="shared" si="4"/>
        <v>3192.23</v>
      </c>
      <c r="S80" s="3">
        <f t="shared" si="5"/>
        <v>3156.23</v>
      </c>
    </row>
    <row r="81" spans="14:19" ht="15.75" x14ac:dyDescent="0.25">
      <c r="N81" s="19">
        <v>3170.3005794459996</v>
      </c>
      <c r="O81" s="3">
        <v>3144</v>
      </c>
      <c r="P81" s="3">
        <v>3175.29</v>
      </c>
      <c r="Q81" s="3"/>
      <c r="R81" s="3">
        <f t="shared" si="4"/>
        <v>3175.29</v>
      </c>
      <c r="S81" s="3">
        <f t="shared" si="5"/>
        <v>3139.29</v>
      </c>
    </row>
    <row r="82" spans="14:19" ht="15.75" x14ac:dyDescent="0.25">
      <c r="N82" s="19">
        <v>3117.0002803939997</v>
      </c>
      <c r="O82" s="3">
        <v>3099</v>
      </c>
      <c r="P82" s="3">
        <v>3137.91</v>
      </c>
      <c r="Q82" s="3"/>
      <c r="R82" s="3">
        <f t="shared" si="4"/>
        <v>3137.91</v>
      </c>
      <c r="S82" s="3">
        <f t="shared" si="5"/>
        <v>3101.91</v>
      </c>
    </row>
    <row r="83" spans="14:19" ht="15.75" x14ac:dyDescent="0.25">
      <c r="N83" s="19">
        <v>3083.4233069639995</v>
      </c>
      <c r="O83" s="3">
        <v>3058</v>
      </c>
      <c r="P83" s="3">
        <v>3091.33</v>
      </c>
      <c r="Q83" s="3"/>
      <c r="R83" s="3">
        <f t="shared" si="4"/>
        <v>3091.33</v>
      </c>
      <c r="S83" s="3">
        <f t="shared" si="5"/>
        <v>3055.33</v>
      </c>
    </row>
    <row r="84" spans="14:19" ht="15.75" x14ac:dyDescent="0.25">
      <c r="N84" s="19">
        <v>3027.3844961360001</v>
      </c>
      <c r="O84" s="3">
        <v>3000</v>
      </c>
      <c r="P84" s="3">
        <v>3037.89</v>
      </c>
      <c r="Q84" s="3"/>
      <c r="R84" s="3">
        <f t="shared" si="4"/>
        <v>3037.89</v>
      </c>
      <c r="S84" s="3">
        <f t="shared" si="5"/>
        <v>3001.89</v>
      </c>
    </row>
    <row r="85" spans="14:19" ht="15.75" x14ac:dyDescent="0.25">
      <c r="N85" s="19">
        <v>2927.3684079639997</v>
      </c>
      <c r="O85" s="3">
        <v>2917</v>
      </c>
      <c r="P85" s="3">
        <v>2966.35</v>
      </c>
      <c r="Q85" s="3"/>
      <c r="R85" s="3">
        <f t="shared" si="4"/>
        <v>2966.35</v>
      </c>
      <c r="S85" s="3">
        <f t="shared" si="5"/>
        <v>2930.35</v>
      </c>
    </row>
    <row r="86" spans="14:19" ht="15.75" x14ac:dyDescent="0.25">
      <c r="N86" s="19">
        <v>2840.7327688739997</v>
      </c>
      <c r="O86" s="3">
        <v>2843</v>
      </c>
      <c r="P86" s="3">
        <v>2891.36</v>
      </c>
      <c r="Q86" s="3"/>
      <c r="R86" s="3">
        <f t="shared" si="4"/>
        <v>2891.36</v>
      </c>
      <c r="S86" s="3">
        <f t="shared" si="5"/>
        <v>2855.36</v>
      </c>
    </row>
    <row r="87" spans="14:19" ht="15.75" x14ac:dyDescent="0.25">
      <c r="N87" s="19">
        <v>2793.0001058959997</v>
      </c>
      <c r="O87" s="3">
        <v>2772</v>
      </c>
      <c r="P87" s="3">
        <v>2803.47</v>
      </c>
      <c r="Q87" s="3"/>
      <c r="R87" s="3">
        <f t="shared" si="4"/>
        <v>2803.47</v>
      </c>
      <c r="S87" s="3">
        <f t="shared" si="5"/>
        <v>2767.47</v>
      </c>
    </row>
    <row r="88" spans="14:19" ht="15.75" x14ac:dyDescent="0.25">
      <c r="N88" s="19">
        <v>2724.0439766539998</v>
      </c>
      <c r="O88" s="3">
        <v>2700</v>
      </c>
      <c r="P88" s="3">
        <v>2722.54</v>
      </c>
      <c r="Q88" s="3"/>
      <c r="R88" s="3">
        <f t="shared" si="4"/>
        <v>2724.0439766539998</v>
      </c>
      <c r="S88" s="3">
        <f t="shared" si="5"/>
        <v>2688.0439766539998</v>
      </c>
    </row>
    <row r="89" spans="14:19" ht="15.75" x14ac:dyDescent="0.25">
      <c r="N89" s="19">
        <v>2642.291345694</v>
      </c>
      <c r="O89" s="3">
        <v>2635</v>
      </c>
      <c r="P89" s="3">
        <v>2670.2</v>
      </c>
      <c r="Q89" s="3"/>
      <c r="R89" s="3">
        <f t="shared" si="4"/>
        <v>2670.2</v>
      </c>
      <c r="S89" s="3">
        <f t="shared" si="5"/>
        <v>2634.2</v>
      </c>
    </row>
    <row r="90" spans="14:19" ht="15.75" x14ac:dyDescent="0.25">
      <c r="N90" s="19">
        <v>2563.9316502799998</v>
      </c>
      <c r="O90" s="3">
        <v>2570</v>
      </c>
      <c r="P90" s="3">
        <v>2609.11</v>
      </c>
      <c r="Q90" s="3"/>
      <c r="R90" s="3">
        <f t="shared" si="4"/>
        <v>2609.11</v>
      </c>
      <c r="S90" s="3">
        <f t="shared" si="5"/>
        <v>2573.11</v>
      </c>
    </row>
    <row r="91" spans="14:19" ht="15.75" x14ac:dyDescent="0.25">
      <c r="N91" s="19">
        <v>2549.1618091939995</v>
      </c>
      <c r="O91" s="3">
        <v>2563</v>
      </c>
      <c r="P91" s="3">
        <v>2608.38</v>
      </c>
      <c r="Q91" s="3"/>
      <c r="R91" s="3">
        <f t="shared" si="4"/>
        <v>2608.38</v>
      </c>
      <c r="S91" s="3">
        <f t="shared" si="5"/>
        <v>2572.38</v>
      </c>
    </row>
    <row r="92" spans="14:19" ht="15.75" x14ac:dyDescent="0.25">
      <c r="N92" s="19">
        <v>2686.2585549799996</v>
      </c>
      <c r="O92" s="3">
        <v>2696</v>
      </c>
      <c r="P92" s="3">
        <v>2738.48</v>
      </c>
      <c r="Q92" s="3"/>
      <c r="R92" s="3">
        <f t="shared" si="4"/>
        <v>2738.48</v>
      </c>
      <c r="S92" s="3">
        <f t="shared" si="5"/>
        <v>2702.48</v>
      </c>
    </row>
    <row r="93" spans="14:19" ht="15.75" x14ac:dyDescent="0.25">
      <c r="N93" s="19">
        <v>2825.6508179899997</v>
      </c>
      <c r="O93" s="3">
        <v>2828</v>
      </c>
      <c r="P93" s="3">
        <v>2861.35</v>
      </c>
      <c r="Q93" s="3"/>
      <c r="R93" s="3">
        <f t="shared" si="4"/>
        <v>2861.35</v>
      </c>
      <c r="S93" s="3">
        <f t="shared" si="5"/>
        <v>2825.35</v>
      </c>
    </row>
    <row r="94" spans="14:19" ht="15.75" x14ac:dyDescent="0.25">
      <c r="N94" s="19">
        <v>2996.65678312</v>
      </c>
      <c r="O94" s="3">
        <v>2997</v>
      </c>
      <c r="P94" s="3">
        <v>3029.4</v>
      </c>
      <c r="Q94" s="3"/>
      <c r="R94" s="3">
        <f t="shared" si="4"/>
        <v>3029.4</v>
      </c>
      <c r="S94" s="3">
        <f t="shared" si="5"/>
        <v>2993.4</v>
      </c>
    </row>
    <row r="95" spans="14:19" ht="15.75" x14ac:dyDescent="0.25">
      <c r="N95" s="19">
        <v>3121.2792050439998</v>
      </c>
      <c r="O95" s="3">
        <v>3133</v>
      </c>
      <c r="P95" s="3">
        <v>3178.77</v>
      </c>
      <c r="Q95" s="3"/>
      <c r="R95" s="3">
        <f t="shared" si="4"/>
        <v>3178.77</v>
      </c>
      <c r="S95" s="3">
        <f t="shared" si="5"/>
        <v>3142.77</v>
      </c>
    </row>
    <row r="96" spans="14:19" ht="15.75" x14ac:dyDescent="0.25">
      <c r="N96" s="19">
        <v>3075.3487244479998</v>
      </c>
      <c r="O96" s="3">
        <v>3082</v>
      </c>
      <c r="P96" s="3">
        <v>3113.69</v>
      </c>
      <c r="Q96" s="3"/>
      <c r="R96" s="3">
        <f t="shared" si="4"/>
        <v>3113.69</v>
      </c>
      <c r="S96" s="3">
        <f t="shared" si="5"/>
        <v>3077.69</v>
      </c>
    </row>
    <row r="97" spans="14:19" ht="15.75" x14ac:dyDescent="0.25">
      <c r="N97" s="19">
        <v>3029.6598772439997</v>
      </c>
      <c r="O97" s="3">
        <v>3051</v>
      </c>
      <c r="P97" s="3">
        <v>3094.62</v>
      </c>
      <c r="Q97" s="3"/>
      <c r="R97" s="3">
        <f t="shared" si="4"/>
        <v>3094.62</v>
      </c>
      <c r="S97" s="3">
        <f t="shared" si="5"/>
        <v>3058.62</v>
      </c>
    </row>
    <row r="98" spans="14:19" ht="15.75" x14ac:dyDescent="0.25">
      <c r="N98" s="19">
        <v>3025.5118373479995</v>
      </c>
      <c r="O98" s="3">
        <v>3039</v>
      </c>
      <c r="P98" s="3">
        <v>3075.94</v>
      </c>
      <c r="Q98" s="3"/>
      <c r="R98" s="3">
        <f t="shared" si="4"/>
        <v>3075.94</v>
      </c>
      <c r="S98" s="3">
        <f t="shared" si="5"/>
        <v>3039.94</v>
      </c>
    </row>
    <row r="99" spans="14:19" ht="16.5" thickBot="1" x14ac:dyDescent="0.3">
      <c r="N99" s="18">
        <f t="shared" ref="N99:S99" si="6">AVERAGE(N23:N98)*0.24</f>
        <v>915.42515125956606</v>
      </c>
      <c r="O99" s="18">
        <f t="shared" si="6"/>
        <v>915.13263157894733</v>
      </c>
      <c r="P99" s="18">
        <f t="shared" si="6"/>
        <v>916.42452631578954</v>
      </c>
      <c r="Q99" s="18">
        <f t="shared" si="6"/>
        <v>817.52160000000015</v>
      </c>
      <c r="R99" s="18">
        <f t="shared" si="6"/>
        <v>925.28175651132653</v>
      </c>
      <c r="S99" s="18">
        <f t="shared" si="6"/>
        <v>916.64175651132655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:H22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01"/>
  <sheetViews>
    <sheetView workbookViewId="0">
      <selection activeCell="A4" sqref="A4:F101"/>
    </sheetView>
  </sheetViews>
  <sheetFormatPr defaultRowHeight="15" x14ac:dyDescent="0.25"/>
  <sheetData>
    <row r="4" spans="1:6" x14ac:dyDescent="0.25">
      <c r="D4" s="22">
        <v>43937</v>
      </c>
    </row>
    <row r="5" spans="1:6" x14ac:dyDescent="0.25">
      <c r="A5">
        <v>2638</v>
      </c>
      <c r="B5">
        <v>2611</v>
      </c>
      <c r="C5">
        <f t="shared" ref="C5:C36" si="0">AVERAGE(A5:B5)</f>
        <v>2624.5</v>
      </c>
      <c r="D5" s="3">
        <v>2578.3000000000002</v>
      </c>
      <c r="E5" s="3">
        <f t="shared" ref="E5:E28" si="1">40+D5</f>
        <v>2618.3000000000002</v>
      </c>
      <c r="F5">
        <f t="shared" ref="F5:F36" si="2">MAX(C5:E5)</f>
        <v>2624.5</v>
      </c>
    </row>
    <row r="6" spans="1:6" x14ac:dyDescent="0.25">
      <c r="A6">
        <v>2603</v>
      </c>
      <c r="B6">
        <v>2566</v>
      </c>
      <c r="C6">
        <f t="shared" si="0"/>
        <v>2584.5</v>
      </c>
      <c r="D6" s="3">
        <v>2522.41</v>
      </c>
      <c r="E6" s="3">
        <f t="shared" si="1"/>
        <v>2562.41</v>
      </c>
      <c r="F6">
        <f t="shared" si="2"/>
        <v>2584.5</v>
      </c>
    </row>
    <row r="7" spans="1:6" x14ac:dyDescent="0.25">
      <c r="A7">
        <v>2599</v>
      </c>
      <c r="B7">
        <v>2560</v>
      </c>
      <c r="C7">
        <f t="shared" si="0"/>
        <v>2579.5</v>
      </c>
      <c r="D7" s="3">
        <v>2521.4499999999998</v>
      </c>
      <c r="E7" s="3">
        <f t="shared" si="1"/>
        <v>2561.4499999999998</v>
      </c>
      <c r="F7">
        <f t="shared" si="2"/>
        <v>2579.5</v>
      </c>
    </row>
    <row r="8" spans="1:6" x14ac:dyDescent="0.25">
      <c r="A8">
        <v>2607</v>
      </c>
      <c r="B8">
        <v>2562</v>
      </c>
      <c r="C8">
        <f t="shared" si="0"/>
        <v>2584.5</v>
      </c>
      <c r="D8" s="3">
        <v>2517.77</v>
      </c>
      <c r="E8" s="3">
        <f t="shared" si="1"/>
        <v>2557.77</v>
      </c>
      <c r="F8">
        <f t="shared" si="2"/>
        <v>2584.5</v>
      </c>
    </row>
    <row r="9" spans="1:6" x14ac:dyDescent="0.25">
      <c r="A9">
        <v>2602</v>
      </c>
      <c r="B9">
        <v>2547</v>
      </c>
      <c r="C9">
        <f t="shared" si="0"/>
        <v>2574.5</v>
      </c>
      <c r="D9" s="3">
        <v>2506.91</v>
      </c>
      <c r="E9" s="3">
        <f t="shared" si="1"/>
        <v>2546.91</v>
      </c>
      <c r="F9">
        <f t="shared" si="2"/>
        <v>2574.5</v>
      </c>
    </row>
    <row r="10" spans="1:6" x14ac:dyDescent="0.25">
      <c r="A10">
        <v>2610</v>
      </c>
      <c r="B10">
        <v>2548</v>
      </c>
      <c r="C10">
        <f t="shared" si="0"/>
        <v>2579</v>
      </c>
      <c r="D10" s="3">
        <v>2510.2800000000002</v>
      </c>
      <c r="E10" s="3">
        <f t="shared" si="1"/>
        <v>2550.2800000000002</v>
      </c>
      <c r="F10">
        <f t="shared" si="2"/>
        <v>2579</v>
      </c>
    </row>
    <row r="11" spans="1:6" x14ac:dyDescent="0.25">
      <c r="A11">
        <v>2613</v>
      </c>
      <c r="B11">
        <v>2543</v>
      </c>
      <c r="C11">
        <f t="shared" si="0"/>
        <v>2578</v>
      </c>
      <c r="D11" s="3">
        <v>2502.71</v>
      </c>
      <c r="E11" s="3">
        <f t="shared" si="1"/>
        <v>2542.71</v>
      </c>
      <c r="F11">
        <f t="shared" si="2"/>
        <v>2578</v>
      </c>
    </row>
    <row r="12" spans="1:6" x14ac:dyDescent="0.25">
      <c r="A12">
        <v>2610</v>
      </c>
      <c r="B12">
        <v>2533</v>
      </c>
      <c r="C12">
        <f t="shared" si="0"/>
        <v>2571.5</v>
      </c>
      <c r="D12" s="3">
        <v>2498.6799999999998</v>
      </c>
      <c r="E12" s="3">
        <f t="shared" si="1"/>
        <v>2538.6799999999998</v>
      </c>
      <c r="F12">
        <f t="shared" si="2"/>
        <v>2571.5</v>
      </c>
    </row>
    <row r="13" spans="1:6" x14ac:dyDescent="0.25">
      <c r="A13">
        <v>2606</v>
      </c>
      <c r="B13">
        <v>2521</v>
      </c>
      <c r="C13">
        <f t="shared" si="0"/>
        <v>2563.5</v>
      </c>
      <c r="D13" s="3">
        <v>2481.98</v>
      </c>
      <c r="E13" s="3">
        <f t="shared" si="1"/>
        <v>2521.98</v>
      </c>
      <c r="F13">
        <f t="shared" si="2"/>
        <v>2563.5</v>
      </c>
    </row>
    <row r="14" spans="1:6" x14ac:dyDescent="0.25">
      <c r="A14">
        <v>2578</v>
      </c>
      <c r="B14">
        <v>2488</v>
      </c>
      <c r="C14">
        <f t="shared" si="0"/>
        <v>2533</v>
      </c>
      <c r="D14" s="3">
        <v>2456.64</v>
      </c>
      <c r="E14" s="3">
        <f t="shared" si="1"/>
        <v>2496.64</v>
      </c>
      <c r="F14">
        <f t="shared" si="2"/>
        <v>2533</v>
      </c>
    </row>
    <row r="15" spans="1:6" x14ac:dyDescent="0.25">
      <c r="A15">
        <v>2555</v>
      </c>
      <c r="B15">
        <v>2470</v>
      </c>
      <c r="C15">
        <f t="shared" si="0"/>
        <v>2512.5</v>
      </c>
      <c r="D15" s="3">
        <v>2423.94</v>
      </c>
      <c r="E15" s="3">
        <f t="shared" si="1"/>
        <v>2463.94</v>
      </c>
      <c r="F15">
        <f t="shared" si="2"/>
        <v>2512.5</v>
      </c>
    </row>
    <row r="16" spans="1:6" x14ac:dyDescent="0.25">
      <c r="A16">
        <v>2540</v>
      </c>
      <c r="B16">
        <v>2454</v>
      </c>
      <c r="C16">
        <f t="shared" si="0"/>
        <v>2497</v>
      </c>
      <c r="D16" s="3">
        <v>2401.27</v>
      </c>
      <c r="E16" s="3">
        <f t="shared" si="1"/>
        <v>2441.27</v>
      </c>
      <c r="F16">
        <f t="shared" si="2"/>
        <v>2497</v>
      </c>
    </row>
    <row r="17" spans="1:6" x14ac:dyDescent="0.25">
      <c r="A17">
        <v>2540</v>
      </c>
      <c r="B17">
        <v>2451</v>
      </c>
      <c r="C17">
        <f t="shared" si="0"/>
        <v>2495.5</v>
      </c>
      <c r="D17" s="3">
        <v>2412.06</v>
      </c>
      <c r="E17" s="3">
        <f t="shared" si="1"/>
        <v>2452.06</v>
      </c>
      <c r="F17">
        <f t="shared" si="2"/>
        <v>2495.5</v>
      </c>
    </row>
    <row r="18" spans="1:6" x14ac:dyDescent="0.25">
      <c r="A18">
        <v>2545</v>
      </c>
      <c r="B18">
        <v>2455</v>
      </c>
      <c r="C18">
        <f t="shared" si="0"/>
        <v>2500</v>
      </c>
      <c r="D18" s="3">
        <v>2417.4</v>
      </c>
      <c r="E18" s="3">
        <f t="shared" si="1"/>
        <v>2457.4</v>
      </c>
      <c r="F18">
        <f t="shared" si="2"/>
        <v>2500</v>
      </c>
    </row>
    <row r="19" spans="1:6" x14ac:dyDescent="0.25">
      <c r="A19">
        <v>2546</v>
      </c>
      <c r="B19">
        <v>2457</v>
      </c>
      <c r="C19">
        <f t="shared" si="0"/>
        <v>2501.5</v>
      </c>
      <c r="D19" s="3">
        <v>2416.67</v>
      </c>
      <c r="E19" s="3">
        <f t="shared" si="1"/>
        <v>2456.67</v>
      </c>
      <c r="F19">
        <f t="shared" si="2"/>
        <v>2501.5</v>
      </c>
    </row>
    <row r="20" spans="1:6" x14ac:dyDescent="0.25">
      <c r="A20">
        <v>2535</v>
      </c>
      <c r="B20">
        <v>2448</v>
      </c>
      <c r="C20">
        <f t="shared" si="0"/>
        <v>2491.5</v>
      </c>
      <c r="D20" s="3">
        <v>2400.61</v>
      </c>
      <c r="E20" s="3">
        <f t="shared" si="1"/>
        <v>2440.61</v>
      </c>
      <c r="F20">
        <f t="shared" si="2"/>
        <v>2491.5</v>
      </c>
    </row>
    <row r="21" spans="1:6" x14ac:dyDescent="0.25">
      <c r="A21">
        <v>2535</v>
      </c>
      <c r="B21">
        <v>2446</v>
      </c>
      <c r="C21">
        <f t="shared" si="0"/>
        <v>2490.5</v>
      </c>
      <c r="D21" s="3">
        <v>2393.69</v>
      </c>
      <c r="E21" s="3">
        <f t="shared" si="1"/>
        <v>2433.69</v>
      </c>
      <c r="F21">
        <f t="shared" si="2"/>
        <v>2490.5</v>
      </c>
    </row>
    <row r="22" spans="1:6" x14ac:dyDescent="0.25">
      <c r="A22">
        <v>2526</v>
      </c>
      <c r="B22">
        <v>2440</v>
      </c>
      <c r="C22">
        <f t="shared" si="0"/>
        <v>2483</v>
      </c>
      <c r="D22" s="3">
        <v>2382.75</v>
      </c>
      <c r="E22" s="3">
        <f t="shared" si="1"/>
        <v>2422.75</v>
      </c>
      <c r="F22">
        <f t="shared" si="2"/>
        <v>2483</v>
      </c>
    </row>
    <row r="23" spans="1:6" x14ac:dyDescent="0.25">
      <c r="A23">
        <v>2539</v>
      </c>
      <c r="B23">
        <v>2454</v>
      </c>
      <c r="C23">
        <f t="shared" si="0"/>
        <v>2496.5</v>
      </c>
      <c r="D23" s="3">
        <v>2398.6999999999998</v>
      </c>
      <c r="E23" s="3">
        <f t="shared" si="1"/>
        <v>2438.6999999999998</v>
      </c>
      <c r="F23">
        <f t="shared" si="2"/>
        <v>2496.5</v>
      </c>
    </row>
    <row r="24" spans="1:6" x14ac:dyDescent="0.25">
      <c r="A24" s="6">
        <v>2540</v>
      </c>
      <c r="B24" s="6">
        <v>2462</v>
      </c>
      <c r="C24">
        <f t="shared" si="0"/>
        <v>2501</v>
      </c>
      <c r="D24" s="8">
        <v>2392.81</v>
      </c>
      <c r="E24" s="3">
        <f t="shared" si="1"/>
        <v>2432.81</v>
      </c>
      <c r="F24">
        <f t="shared" si="2"/>
        <v>2501</v>
      </c>
    </row>
    <row r="25" spans="1:6" x14ac:dyDescent="0.25">
      <c r="A25">
        <v>2550</v>
      </c>
      <c r="B25">
        <v>2474</v>
      </c>
      <c r="C25">
        <f t="shared" si="0"/>
        <v>2512</v>
      </c>
      <c r="D25" s="3">
        <v>2400.5</v>
      </c>
      <c r="E25" s="3">
        <f t="shared" si="1"/>
        <v>2440.5</v>
      </c>
      <c r="F25">
        <f t="shared" si="2"/>
        <v>2512</v>
      </c>
    </row>
    <row r="26" spans="1:6" x14ac:dyDescent="0.25">
      <c r="A26">
        <v>2568</v>
      </c>
      <c r="B26">
        <v>2498</v>
      </c>
      <c r="C26">
        <f t="shared" si="0"/>
        <v>2533</v>
      </c>
      <c r="D26" s="3">
        <v>2421.0500000000002</v>
      </c>
      <c r="E26" s="3">
        <f t="shared" si="1"/>
        <v>2461.0500000000002</v>
      </c>
      <c r="F26">
        <f t="shared" si="2"/>
        <v>2533</v>
      </c>
    </row>
    <row r="27" spans="1:6" x14ac:dyDescent="0.25">
      <c r="A27">
        <v>2616</v>
      </c>
      <c r="B27">
        <v>2550</v>
      </c>
      <c r="C27">
        <f t="shared" si="0"/>
        <v>2583</v>
      </c>
      <c r="D27" s="3">
        <v>2464.04</v>
      </c>
      <c r="E27" s="3">
        <f t="shared" si="1"/>
        <v>2504.04</v>
      </c>
      <c r="F27">
        <f t="shared" si="2"/>
        <v>2583</v>
      </c>
    </row>
    <row r="28" spans="1:6" x14ac:dyDescent="0.25">
      <c r="A28">
        <v>2672</v>
      </c>
      <c r="B28">
        <v>2609</v>
      </c>
      <c r="C28">
        <f t="shared" si="0"/>
        <v>2640.5</v>
      </c>
      <c r="D28" s="3">
        <v>2532.52</v>
      </c>
      <c r="E28" s="3">
        <f t="shared" si="1"/>
        <v>2572.52</v>
      </c>
      <c r="F28">
        <f t="shared" si="2"/>
        <v>2640.5</v>
      </c>
    </row>
    <row r="29" spans="1:6" x14ac:dyDescent="0.25">
      <c r="A29">
        <v>2724</v>
      </c>
      <c r="B29">
        <v>2668</v>
      </c>
      <c r="C29">
        <f t="shared" si="0"/>
        <v>2696</v>
      </c>
      <c r="D29" s="3">
        <v>2615.0700000000002</v>
      </c>
      <c r="E29" s="3">
        <v>2615.0700000000002</v>
      </c>
      <c r="F29">
        <f t="shared" si="2"/>
        <v>2696</v>
      </c>
    </row>
    <row r="30" spans="1:6" x14ac:dyDescent="0.25">
      <c r="A30">
        <v>2746</v>
      </c>
      <c r="B30">
        <v>2691</v>
      </c>
      <c r="C30">
        <f t="shared" si="0"/>
        <v>2718.5</v>
      </c>
      <c r="D30" s="3">
        <v>2641.2</v>
      </c>
      <c r="E30" s="3">
        <v>2641.2</v>
      </c>
      <c r="F30">
        <f t="shared" si="2"/>
        <v>2718.5</v>
      </c>
    </row>
    <row r="31" spans="1:6" x14ac:dyDescent="0.25">
      <c r="A31">
        <v>2761</v>
      </c>
      <c r="B31">
        <v>2713</v>
      </c>
      <c r="C31">
        <f t="shared" si="0"/>
        <v>2737</v>
      </c>
      <c r="D31" s="3">
        <v>2647.54</v>
      </c>
      <c r="E31" s="3">
        <v>2647.54</v>
      </c>
      <c r="F31">
        <f t="shared" si="2"/>
        <v>2737</v>
      </c>
    </row>
    <row r="32" spans="1:6" x14ac:dyDescent="0.25">
      <c r="A32">
        <v>2771</v>
      </c>
      <c r="B32">
        <v>2729</v>
      </c>
      <c r="C32">
        <f t="shared" si="0"/>
        <v>2750</v>
      </c>
      <c r="D32" s="3">
        <v>2656.88</v>
      </c>
      <c r="E32" s="3">
        <v>2656.88</v>
      </c>
      <c r="F32">
        <f t="shared" si="2"/>
        <v>2750</v>
      </c>
    </row>
    <row r="33" spans="1:6" x14ac:dyDescent="0.25">
      <c r="A33">
        <v>2829</v>
      </c>
      <c r="B33">
        <v>2790</v>
      </c>
      <c r="C33">
        <f t="shared" si="0"/>
        <v>2809.5</v>
      </c>
      <c r="D33" s="3">
        <v>2714.02</v>
      </c>
      <c r="E33" s="3">
        <v>2714.02</v>
      </c>
      <c r="F33">
        <f t="shared" si="2"/>
        <v>2809.5</v>
      </c>
    </row>
    <row r="34" spans="1:6" x14ac:dyDescent="0.25">
      <c r="A34">
        <v>2859</v>
      </c>
      <c r="B34">
        <v>2815</v>
      </c>
      <c r="C34">
        <f t="shared" si="0"/>
        <v>2837</v>
      </c>
      <c r="D34" s="3">
        <v>2756.48</v>
      </c>
      <c r="E34" s="3">
        <v>2756.48</v>
      </c>
      <c r="F34">
        <f t="shared" si="2"/>
        <v>2837</v>
      </c>
    </row>
    <row r="35" spans="1:6" x14ac:dyDescent="0.25">
      <c r="A35">
        <v>2869</v>
      </c>
      <c r="B35">
        <v>2823</v>
      </c>
      <c r="C35">
        <f t="shared" si="0"/>
        <v>2846</v>
      </c>
      <c r="D35" s="3">
        <v>2777.5</v>
      </c>
      <c r="E35" s="3">
        <v>2777.5</v>
      </c>
      <c r="F35">
        <f t="shared" si="2"/>
        <v>2846</v>
      </c>
    </row>
    <row r="36" spans="1:6" x14ac:dyDescent="0.25">
      <c r="A36">
        <v>2861</v>
      </c>
      <c r="B36">
        <v>2802</v>
      </c>
      <c r="C36">
        <f t="shared" si="0"/>
        <v>2831.5</v>
      </c>
      <c r="D36" s="3">
        <v>2810.64</v>
      </c>
      <c r="E36" s="3">
        <v>2810.64</v>
      </c>
      <c r="F36">
        <f t="shared" si="2"/>
        <v>2831.5</v>
      </c>
    </row>
    <row r="37" spans="1:6" x14ac:dyDescent="0.25">
      <c r="A37" s="7">
        <v>2811</v>
      </c>
      <c r="B37" s="7">
        <v>2750</v>
      </c>
      <c r="C37">
        <f t="shared" ref="C37:C68" si="3">AVERAGE(A37:B37)</f>
        <v>2780.5</v>
      </c>
      <c r="D37" s="9">
        <v>2728.57</v>
      </c>
      <c r="E37" s="9">
        <v>2728.57</v>
      </c>
      <c r="F37">
        <f t="shared" ref="F37:F68" si="4">MAX(C37:E37)</f>
        <v>2780.5</v>
      </c>
    </row>
    <row r="38" spans="1:6" x14ac:dyDescent="0.25">
      <c r="A38">
        <v>2755</v>
      </c>
      <c r="B38">
        <v>2702</v>
      </c>
      <c r="C38">
        <f t="shared" si="3"/>
        <v>2728.5</v>
      </c>
      <c r="D38" s="3">
        <v>2658.51</v>
      </c>
      <c r="E38" s="3">
        <v>2658.51</v>
      </c>
      <c r="F38">
        <f t="shared" si="4"/>
        <v>2728.5</v>
      </c>
    </row>
    <row r="39" spans="1:6" x14ac:dyDescent="0.25">
      <c r="A39">
        <v>2773</v>
      </c>
      <c r="B39">
        <v>2717</v>
      </c>
      <c r="C39">
        <f t="shared" si="3"/>
        <v>2745</v>
      </c>
      <c r="D39" s="3">
        <v>2678.66</v>
      </c>
      <c r="E39" s="3">
        <v>2678.66</v>
      </c>
      <c r="F39">
        <f t="shared" si="4"/>
        <v>2745</v>
      </c>
    </row>
    <row r="40" spans="1:6" x14ac:dyDescent="0.25">
      <c r="A40">
        <v>2768</v>
      </c>
      <c r="B40">
        <v>2709</v>
      </c>
      <c r="C40">
        <f t="shared" si="3"/>
        <v>2738.5</v>
      </c>
      <c r="D40" s="3">
        <v>2679.15</v>
      </c>
      <c r="E40" s="3">
        <v>2679.15</v>
      </c>
      <c r="F40">
        <f t="shared" si="4"/>
        <v>2738.5</v>
      </c>
    </row>
    <row r="41" spans="1:6" x14ac:dyDescent="0.25">
      <c r="A41">
        <v>2760</v>
      </c>
      <c r="B41">
        <v>2701</v>
      </c>
      <c r="C41">
        <f t="shared" si="3"/>
        <v>2730.5</v>
      </c>
      <c r="D41" s="3">
        <v>2677.72</v>
      </c>
      <c r="E41" s="3">
        <v>2677.72</v>
      </c>
      <c r="F41">
        <f t="shared" si="4"/>
        <v>2730.5</v>
      </c>
    </row>
    <row r="42" spans="1:6" x14ac:dyDescent="0.25">
      <c r="A42">
        <v>2742</v>
      </c>
      <c r="B42">
        <v>2676</v>
      </c>
      <c r="C42">
        <f t="shared" si="3"/>
        <v>2709</v>
      </c>
      <c r="D42" s="3">
        <v>2651.33</v>
      </c>
      <c r="E42" s="3">
        <v>2651.33</v>
      </c>
      <c r="F42">
        <f t="shared" si="4"/>
        <v>2709</v>
      </c>
    </row>
    <row r="43" spans="1:6" x14ac:dyDescent="0.25">
      <c r="A43">
        <v>2730</v>
      </c>
      <c r="B43">
        <v>2660</v>
      </c>
      <c r="C43">
        <f t="shared" si="3"/>
        <v>2695</v>
      </c>
      <c r="D43" s="3">
        <v>2661.36</v>
      </c>
      <c r="E43" s="3">
        <v>2661.36</v>
      </c>
      <c r="F43">
        <f t="shared" si="4"/>
        <v>2695</v>
      </c>
    </row>
    <row r="44" spans="1:6" x14ac:dyDescent="0.25">
      <c r="A44">
        <v>2683</v>
      </c>
      <c r="B44">
        <v>2614</v>
      </c>
      <c r="C44">
        <f t="shared" si="3"/>
        <v>2648.5</v>
      </c>
      <c r="D44" s="3">
        <v>2611.61</v>
      </c>
      <c r="E44" s="3">
        <v>2611.61</v>
      </c>
      <c r="F44">
        <f t="shared" si="4"/>
        <v>2648.5</v>
      </c>
    </row>
    <row r="45" spans="1:6" x14ac:dyDescent="0.25">
      <c r="A45" s="6">
        <v>2634</v>
      </c>
      <c r="B45" s="6">
        <v>2561</v>
      </c>
      <c r="C45">
        <f t="shared" si="3"/>
        <v>2597.5</v>
      </c>
      <c r="D45" s="8">
        <v>2572.2800000000002</v>
      </c>
      <c r="E45" s="8">
        <v>2572.2800000000002</v>
      </c>
      <c r="F45">
        <f t="shared" si="4"/>
        <v>2597.5</v>
      </c>
    </row>
    <row r="46" spans="1:6" x14ac:dyDescent="0.25">
      <c r="A46">
        <v>2570</v>
      </c>
      <c r="B46">
        <v>2500</v>
      </c>
      <c r="C46">
        <f t="shared" si="3"/>
        <v>2535</v>
      </c>
      <c r="D46" s="3">
        <v>2494.58</v>
      </c>
      <c r="E46" s="3">
        <v>2494.58</v>
      </c>
      <c r="F46">
        <f t="shared" si="4"/>
        <v>2535</v>
      </c>
    </row>
    <row r="47" spans="1:6" x14ac:dyDescent="0.25">
      <c r="A47">
        <v>2523</v>
      </c>
      <c r="B47">
        <v>2459</v>
      </c>
      <c r="C47">
        <f t="shared" si="3"/>
        <v>2491</v>
      </c>
      <c r="D47" s="3">
        <v>2458.13</v>
      </c>
      <c r="E47" s="3">
        <v>2458.13</v>
      </c>
      <c r="F47">
        <f t="shared" si="4"/>
        <v>2491</v>
      </c>
    </row>
    <row r="48" spans="1:6" x14ac:dyDescent="0.25">
      <c r="A48">
        <v>2476</v>
      </c>
      <c r="B48">
        <v>2406</v>
      </c>
      <c r="C48">
        <f t="shared" si="3"/>
        <v>2441</v>
      </c>
      <c r="D48" s="3">
        <v>2397.71</v>
      </c>
      <c r="E48" s="3">
        <v>2397.71</v>
      </c>
      <c r="F48">
        <f t="shared" si="4"/>
        <v>2441</v>
      </c>
    </row>
    <row r="49" spans="1:6" x14ac:dyDescent="0.25">
      <c r="A49">
        <v>2415</v>
      </c>
      <c r="B49">
        <v>2346</v>
      </c>
      <c r="C49">
        <f t="shared" si="3"/>
        <v>2380.5</v>
      </c>
      <c r="D49" s="3">
        <v>2335.2800000000002</v>
      </c>
      <c r="E49" s="3">
        <v>2335.2800000000002</v>
      </c>
      <c r="F49">
        <f t="shared" si="4"/>
        <v>2380.5</v>
      </c>
    </row>
    <row r="50" spans="1:6" x14ac:dyDescent="0.25">
      <c r="A50">
        <v>2381</v>
      </c>
      <c r="B50">
        <v>2311</v>
      </c>
      <c r="C50">
        <f t="shared" si="3"/>
        <v>2346</v>
      </c>
      <c r="D50" s="3">
        <v>2295.56</v>
      </c>
      <c r="E50" s="3">
        <v>2295.56</v>
      </c>
      <c r="F50">
        <f t="shared" si="4"/>
        <v>2346</v>
      </c>
    </row>
    <row r="51" spans="1:6" x14ac:dyDescent="0.25">
      <c r="A51">
        <v>2349</v>
      </c>
      <c r="B51">
        <v>2281</v>
      </c>
      <c r="C51">
        <f t="shared" si="3"/>
        <v>2315</v>
      </c>
      <c r="D51" s="3">
        <v>2271.13</v>
      </c>
      <c r="E51" s="3">
        <v>2271.13</v>
      </c>
      <c r="F51">
        <f t="shared" si="4"/>
        <v>2315</v>
      </c>
    </row>
    <row r="52" spans="1:6" x14ac:dyDescent="0.25">
      <c r="A52">
        <v>2307</v>
      </c>
      <c r="B52">
        <v>2235</v>
      </c>
      <c r="C52">
        <f t="shared" si="3"/>
        <v>2271</v>
      </c>
      <c r="D52" s="3">
        <v>2239.38</v>
      </c>
      <c r="E52" s="3">
        <v>2239.38</v>
      </c>
      <c r="F52">
        <f t="shared" si="4"/>
        <v>2271</v>
      </c>
    </row>
    <row r="53" spans="1:6" x14ac:dyDescent="0.25">
      <c r="A53">
        <v>2303</v>
      </c>
      <c r="B53">
        <v>2233</v>
      </c>
      <c r="C53">
        <f t="shared" si="3"/>
        <v>2268</v>
      </c>
      <c r="D53" s="3">
        <v>2239.38</v>
      </c>
      <c r="E53" s="3">
        <v>2239.38</v>
      </c>
      <c r="F53">
        <f t="shared" si="4"/>
        <v>2268</v>
      </c>
    </row>
    <row r="54" spans="1:6" x14ac:dyDescent="0.25">
      <c r="A54">
        <v>2203</v>
      </c>
      <c r="B54">
        <v>2140</v>
      </c>
      <c r="C54">
        <f t="shared" si="3"/>
        <v>2171.5</v>
      </c>
      <c r="D54" s="3">
        <v>2120.58</v>
      </c>
      <c r="E54" s="3">
        <v>2120.58</v>
      </c>
      <c r="F54">
        <f t="shared" si="4"/>
        <v>2171.5</v>
      </c>
    </row>
    <row r="55" spans="1:6" x14ac:dyDescent="0.25">
      <c r="A55">
        <v>2194</v>
      </c>
      <c r="B55">
        <v>2138</v>
      </c>
      <c r="C55">
        <f t="shared" si="3"/>
        <v>2166</v>
      </c>
      <c r="D55" s="3">
        <v>2097.4499999999998</v>
      </c>
      <c r="E55" s="3">
        <v>2097.4499999999998</v>
      </c>
      <c r="F55">
        <f t="shared" si="4"/>
        <v>2166</v>
      </c>
    </row>
    <row r="56" spans="1:6" x14ac:dyDescent="0.25">
      <c r="A56">
        <v>2184</v>
      </c>
      <c r="B56">
        <v>2125</v>
      </c>
      <c r="C56">
        <f t="shared" si="3"/>
        <v>2154.5</v>
      </c>
      <c r="D56" s="3">
        <v>2065.6</v>
      </c>
      <c r="E56" s="3">
        <v>2065.6</v>
      </c>
      <c r="F56">
        <f t="shared" si="4"/>
        <v>2154.5</v>
      </c>
    </row>
    <row r="57" spans="1:6" x14ac:dyDescent="0.25">
      <c r="A57">
        <v>2215</v>
      </c>
      <c r="B57">
        <v>2147</v>
      </c>
      <c r="C57">
        <f t="shared" si="3"/>
        <v>2181</v>
      </c>
      <c r="D57" s="3">
        <v>2101.56</v>
      </c>
      <c r="E57" s="3">
        <v>2101.56</v>
      </c>
      <c r="F57">
        <f t="shared" si="4"/>
        <v>2181</v>
      </c>
    </row>
    <row r="58" spans="1:6" x14ac:dyDescent="0.25">
      <c r="A58">
        <v>2230</v>
      </c>
      <c r="B58">
        <v>2170</v>
      </c>
      <c r="C58">
        <f t="shared" si="3"/>
        <v>2200</v>
      </c>
      <c r="D58" s="3">
        <v>2138.5500000000002</v>
      </c>
      <c r="E58" s="3">
        <v>2138.5500000000002</v>
      </c>
      <c r="F58">
        <f t="shared" si="4"/>
        <v>2200</v>
      </c>
    </row>
    <row r="59" spans="1:6" x14ac:dyDescent="0.25">
      <c r="A59">
        <v>2231</v>
      </c>
      <c r="B59">
        <v>2169</v>
      </c>
      <c r="C59">
        <f t="shared" si="3"/>
        <v>2200</v>
      </c>
      <c r="D59" s="3">
        <v>2150.44</v>
      </c>
      <c r="E59" s="3">
        <v>2150.44</v>
      </c>
      <c r="F59">
        <f t="shared" si="4"/>
        <v>2200</v>
      </c>
    </row>
    <row r="60" spans="1:6" x14ac:dyDescent="0.25">
      <c r="A60">
        <v>2219</v>
      </c>
      <c r="B60">
        <v>2164</v>
      </c>
      <c r="C60">
        <f t="shared" si="3"/>
        <v>2191.5</v>
      </c>
      <c r="D60" s="3">
        <v>2150.9299999999998</v>
      </c>
      <c r="E60" s="3">
        <v>2150.9299999999998</v>
      </c>
      <c r="F60">
        <f t="shared" si="4"/>
        <v>2191.5</v>
      </c>
    </row>
    <row r="61" spans="1:6" x14ac:dyDescent="0.25">
      <c r="A61">
        <v>2199</v>
      </c>
      <c r="B61">
        <v>2145</v>
      </c>
      <c r="C61">
        <f t="shared" si="3"/>
        <v>2172</v>
      </c>
      <c r="D61" s="3">
        <v>2120.3200000000002</v>
      </c>
      <c r="E61" s="3">
        <v>2120.3200000000002</v>
      </c>
      <c r="F61">
        <f t="shared" si="4"/>
        <v>2172</v>
      </c>
    </row>
    <row r="62" spans="1:6" x14ac:dyDescent="0.25">
      <c r="A62">
        <v>2209</v>
      </c>
      <c r="B62">
        <v>2159</v>
      </c>
      <c r="C62">
        <f t="shared" si="3"/>
        <v>2184</v>
      </c>
      <c r="D62" s="3">
        <v>2121.79</v>
      </c>
      <c r="E62" s="3">
        <v>2121.79</v>
      </c>
      <c r="F62">
        <f t="shared" si="4"/>
        <v>2184</v>
      </c>
    </row>
    <row r="63" spans="1:6" x14ac:dyDescent="0.25">
      <c r="A63">
        <v>2200</v>
      </c>
      <c r="B63">
        <v>2155</v>
      </c>
      <c r="C63">
        <f t="shared" si="3"/>
        <v>2177.5</v>
      </c>
      <c r="D63" s="3">
        <v>2127.29</v>
      </c>
      <c r="E63" s="3">
        <v>2127.29</v>
      </c>
      <c r="F63">
        <f t="shared" si="4"/>
        <v>2177.5</v>
      </c>
    </row>
    <row r="64" spans="1:6" x14ac:dyDescent="0.25">
      <c r="A64">
        <v>2208</v>
      </c>
      <c r="B64">
        <v>2158</v>
      </c>
      <c r="C64">
        <f t="shared" si="3"/>
        <v>2183</v>
      </c>
      <c r="D64" s="3">
        <v>2127.08</v>
      </c>
      <c r="E64" s="3">
        <v>2127.08</v>
      </c>
      <c r="F64">
        <f t="shared" si="4"/>
        <v>2183</v>
      </c>
    </row>
    <row r="65" spans="1:6" x14ac:dyDescent="0.25">
      <c r="A65">
        <v>2200</v>
      </c>
      <c r="B65">
        <v>2147</v>
      </c>
      <c r="C65">
        <f t="shared" si="3"/>
        <v>2173.5</v>
      </c>
      <c r="D65" s="3">
        <v>2120.7800000000002</v>
      </c>
      <c r="E65" s="3">
        <v>2120.7800000000002</v>
      </c>
      <c r="F65">
        <f t="shared" si="4"/>
        <v>2173.5</v>
      </c>
    </row>
    <row r="66" spans="1:6" x14ac:dyDescent="0.25">
      <c r="A66">
        <v>2222</v>
      </c>
      <c r="B66">
        <v>2163</v>
      </c>
      <c r="C66">
        <f t="shared" si="3"/>
        <v>2192.5</v>
      </c>
      <c r="D66" s="3">
        <v>2122.9499999999998</v>
      </c>
      <c r="E66" s="3">
        <v>2122.9499999999998</v>
      </c>
      <c r="F66">
        <f t="shared" si="4"/>
        <v>2192.5</v>
      </c>
    </row>
    <row r="67" spans="1:6" x14ac:dyDescent="0.25">
      <c r="A67">
        <v>2235</v>
      </c>
      <c r="B67">
        <v>2176</v>
      </c>
      <c r="C67">
        <f t="shared" si="3"/>
        <v>2205.5</v>
      </c>
      <c r="D67" s="3">
        <v>2149.1799999999998</v>
      </c>
      <c r="E67" s="3">
        <v>2149.1799999999998</v>
      </c>
      <c r="F67">
        <f t="shared" si="4"/>
        <v>2205.5</v>
      </c>
    </row>
    <row r="68" spans="1:6" x14ac:dyDescent="0.25">
      <c r="A68">
        <v>2259</v>
      </c>
      <c r="B68">
        <v>2196</v>
      </c>
      <c r="C68">
        <f t="shared" si="3"/>
        <v>2227.5</v>
      </c>
      <c r="D68" s="3">
        <v>2172.61</v>
      </c>
      <c r="E68" s="3">
        <v>2172.61</v>
      </c>
      <c r="F68">
        <f t="shared" si="4"/>
        <v>2227.5</v>
      </c>
    </row>
    <row r="69" spans="1:6" x14ac:dyDescent="0.25">
      <c r="A69">
        <v>2263</v>
      </c>
      <c r="B69">
        <v>2210</v>
      </c>
      <c r="C69">
        <f t="shared" ref="C69:C100" si="5">AVERAGE(A69:B69)</f>
        <v>2236.5</v>
      </c>
      <c r="D69" s="3">
        <v>2198.6799999999998</v>
      </c>
      <c r="E69" s="3">
        <v>2198.6799999999998</v>
      </c>
      <c r="F69">
        <f t="shared" ref="F69:F100" si="6">MAX(C69:E69)</f>
        <v>2236.5</v>
      </c>
    </row>
    <row r="70" spans="1:6" x14ac:dyDescent="0.25">
      <c r="A70">
        <v>2256</v>
      </c>
      <c r="B70">
        <v>2206</v>
      </c>
      <c r="C70">
        <f t="shared" si="5"/>
        <v>2231</v>
      </c>
      <c r="D70" s="3">
        <v>2176.3000000000002</v>
      </c>
      <c r="E70" s="3">
        <v>2176.3000000000002</v>
      </c>
      <c r="F70">
        <f t="shared" si="6"/>
        <v>2231</v>
      </c>
    </row>
    <row r="71" spans="1:6" x14ac:dyDescent="0.25">
      <c r="A71">
        <v>2246</v>
      </c>
      <c r="B71">
        <v>2196</v>
      </c>
      <c r="C71">
        <f t="shared" si="5"/>
        <v>2221</v>
      </c>
      <c r="D71" s="3">
        <v>2164.21</v>
      </c>
      <c r="E71" s="3">
        <v>2164.21</v>
      </c>
      <c r="F71">
        <f t="shared" si="6"/>
        <v>2221</v>
      </c>
    </row>
    <row r="72" spans="1:6" x14ac:dyDescent="0.25">
      <c r="A72">
        <v>2245</v>
      </c>
      <c r="B72">
        <v>2197</v>
      </c>
      <c r="C72">
        <f t="shared" si="5"/>
        <v>2221</v>
      </c>
      <c r="D72" s="3">
        <v>2143.2399999999998</v>
      </c>
      <c r="E72" s="3">
        <v>2143.2399999999998</v>
      </c>
      <c r="F72">
        <f t="shared" si="6"/>
        <v>2221</v>
      </c>
    </row>
    <row r="73" spans="1:6" x14ac:dyDescent="0.25">
      <c r="A73">
        <v>2283</v>
      </c>
      <c r="B73">
        <v>2241</v>
      </c>
      <c r="C73">
        <f t="shared" si="5"/>
        <v>2262</v>
      </c>
      <c r="D73" s="3">
        <v>2185.6999999999998</v>
      </c>
      <c r="E73" s="3">
        <v>2185.6999999999998</v>
      </c>
      <c r="F73">
        <f t="shared" si="6"/>
        <v>2262</v>
      </c>
    </row>
    <row r="74" spans="1:6" x14ac:dyDescent="0.25">
      <c r="A74">
        <v>2297</v>
      </c>
      <c r="B74">
        <v>2255</v>
      </c>
      <c r="C74">
        <f t="shared" si="5"/>
        <v>2276</v>
      </c>
      <c r="D74" s="3">
        <v>2193.63</v>
      </c>
      <c r="E74" s="3">
        <v>2193.63</v>
      </c>
      <c r="F74">
        <f t="shared" si="6"/>
        <v>2276</v>
      </c>
    </row>
    <row r="75" spans="1:6" x14ac:dyDescent="0.25">
      <c r="A75">
        <v>2325</v>
      </c>
      <c r="B75">
        <v>2279</v>
      </c>
      <c r="C75">
        <f t="shared" si="5"/>
        <v>2302</v>
      </c>
      <c r="D75" s="3">
        <v>2234.2399999999998</v>
      </c>
      <c r="E75" s="3">
        <v>2234.2399999999998</v>
      </c>
      <c r="F75">
        <f t="shared" si="6"/>
        <v>2302</v>
      </c>
    </row>
    <row r="76" spans="1:6" x14ac:dyDescent="0.25">
      <c r="A76" s="7">
        <v>2306</v>
      </c>
      <c r="B76" s="7">
        <v>2264</v>
      </c>
      <c r="C76">
        <f t="shared" si="5"/>
        <v>2285</v>
      </c>
      <c r="D76" s="9">
        <v>2233.71</v>
      </c>
      <c r="E76" s="9">
        <v>2233.71</v>
      </c>
      <c r="F76">
        <f t="shared" si="6"/>
        <v>2285</v>
      </c>
    </row>
    <row r="77" spans="1:6" x14ac:dyDescent="0.25">
      <c r="A77" s="6">
        <v>2270</v>
      </c>
      <c r="B77" s="6">
        <v>2235</v>
      </c>
      <c r="C77">
        <f t="shared" si="5"/>
        <v>2252.5</v>
      </c>
      <c r="D77" s="8">
        <v>2196.65</v>
      </c>
      <c r="E77" s="8">
        <v>2196.65</v>
      </c>
      <c r="F77">
        <f t="shared" si="6"/>
        <v>2252.5</v>
      </c>
    </row>
    <row r="78" spans="1:6" x14ac:dyDescent="0.25">
      <c r="A78">
        <v>2253</v>
      </c>
      <c r="B78">
        <v>2222</v>
      </c>
      <c r="C78">
        <f t="shared" si="5"/>
        <v>2237.5</v>
      </c>
      <c r="D78" s="3">
        <v>2150.67</v>
      </c>
      <c r="E78" s="3">
        <v>2150.67</v>
      </c>
      <c r="F78">
        <f t="shared" si="6"/>
        <v>2237.5</v>
      </c>
    </row>
    <row r="79" spans="1:6" x14ac:dyDescent="0.25">
      <c r="A79">
        <v>2273</v>
      </c>
      <c r="B79">
        <v>2243</v>
      </c>
      <c r="C79">
        <f t="shared" si="5"/>
        <v>2258</v>
      </c>
      <c r="D79" s="3">
        <v>2128.7199999999998</v>
      </c>
      <c r="E79" s="3">
        <v>2128.7199999999998</v>
      </c>
      <c r="F79">
        <f t="shared" si="6"/>
        <v>2258</v>
      </c>
    </row>
    <row r="80" spans="1:6" x14ac:dyDescent="0.25">
      <c r="A80">
        <v>2354</v>
      </c>
      <c r="B80">
        <v>2335</v>
      </c>
      <c r="C80">
        <f t="shared" si="5"/>
        <v>2344.5</v>
      </c>
      <c r="D80" s="3">
        <v>2193.0700000000002</v>
      </c>
      <c r="E80" s="3">
        <v>2193.0700000000002</v>
      </c>
      <c r="F80">
        <f t="shared" si="6"/>
        <v>2344.5</v>
      </c>
    </row>
    <row r="81" spans="1:6" x14ac:dyDescent="0.25">
      <c r="A81">
        <v>2473</v>
      </c>
      <c r="B81">
        <v>2453</v>
      </c>
      <c r="C81">
        <f t="shared" si="5"/>
        <v>2463</v>
      </c>
      <c r="D81" s="3">
        <v>2311.11</v>
      </c>
      <c r="E81" s="3">
        <f t="shared" ref="E81:E100" si="7">D81+60</f>
        <v>2371.11</v>
      </c>
      <c r="F81">
        <f t="shared" si="6"/>
        <v>2463</v>
      </c>
    </row>
    <row r="82" spans="1:6" x14ac:dyDescent="0.25">
      <c r="A82">
        <v>2583</v>
      </c>
      <c r="B82">
        <v>2546</v>
      </c>
      <c r="C82">
        <f t="shared" si="5"/>
        <v>2564.5</v>
      </c>
      <c r="D82" s="3">
        <v>2449.7600000000002</v>
      </c>
      <c r="E82" s="3">
        <f t="shared" si="7"/>
        <v>2509.7600000000002</v>
      </c>
      <c r="F82">
        <f t="shared" si="6"/>
        <v>2564.5</v>
      </c>
    </row>
    <row r="83" spans="1:6" x14ac:dyDescent="0.25">
      <c r="A83">
        <v>2642</v>
      </c>
      <c r="B83">
        <v>2597</v>
      </c>
      <c r="C83">
        <f t="shared" si="5"/>
        <v>2619.5</v>
      </c>
      <c r="D83" s="3">
        <v>2535.65</v>
      </c>
      <c r="E83" s="3">
        <f t="shared" si="7"/>
        <v>2595.65</v>
      </c>
      <c r="F83">
        <f t="shared" si="6"/>
        <v>2619.5</v>
      </c>
    </row>
    <row r="84" spans="1:6" x14ac:dyDescent="0.25">
      <c r="A84">
        <v>2651</v>
      </c>
      <c r="B84">
        <v>2594</v>
      </c>
      <c r="C84">
        <f t="shared" si="5"/>
        <v>2622.5</v>
      </c>
      <c r="D84" s="3">
        <v>2573.54</v>
      </c>
      <c r="E84" s="3">
        <f t="shared" si="7"/>
        <v>2633.54</v>
      </c>
      <c r="F84">
        <f t="shared" si="6"/>
        <v>2633.54</v>
      </c>
    </row>
    <row r="85" spans="1:6" x14ac:dyDescent="0.25">
      <c r="A85">
        <v>2641</v>
      </c>
      <c r="B85">
        <v>2577</v>
      </c>
      <c r="C85">
        <f t="shared" si="5"/>
        <v>2609</v>
      </c>
      <c r="D85" s="3">
        <v>2562.92</v>
      </c>
      <c r="E85" s="3">
        <f t="shared" si="7"/>
        <v>2622.92</v>
      </c>
      <c r="F85">
        <f t="shared" si="6"/>
        <v>2622.92</v>
      </c>
    </row>
    <row r="86" spans="1:6" x14ac:dyDescent="0.25">
      <c r="A86">
        <v>2587</v>
      </c>
      <c r="B86">
        <v>2534</v>
      </c>
      <c r="C86">
        <f t="shared" si="5"/>
        <v>2560.5</v>
      </c>
      <c r="D86" s="3">
        <v>2506.85</v>
      </c>
      <c r="E86" s="3">
        <f t="shared" si="7"/>
        <v>2566.85</v>
      </c>
      <c r="F86">
        <f t="shared" si="6"/>
        <v>2566.85</v>
      </c>
    </row>
    <row r="87" spans="1:6" x14ac:dyDescent="0.25">
      <c r="A87">
        <v>2565</v>
      </c>
      <c r="B87">
        <v>2518</v>
      </c>
      <c r="C87">
        <f t="shared" si="5"/>
        <v>2541.5</v>
      </c>
      <c r="D87" s="3">
        <v>2482.15</v>
      </c>
      <c r="E87" s="3">
        <f t="shared" si="7"/>
        <v>2542.15</v>
      </c>
      <c r="F87">
        <f t="shared" si="6"/>
        <v>2542.15</v>
      </c>
    </row>
    <row r="88" spans="1:6" x14ac:dyDescent="0.25">
      <c r="A88">
        <v>2531</v>
      </c>
      <c r="B88">
        <v>2487</v>
      </c>
      <c r="C88">
        <f t="shared" si="5"/>
        <v>2509</v>
      </c>
      <c r="D88" s="3">
        <v>2440.71</v>
      </c>
      <c r="E88" s="3">
        <f t="shared" si="7"/>
        <v>2500.71</v>
      </c>
      <c r="F88">
        <f t="shared" si="6"/>
        <v>2509</v>
      </c>
    </row>
    <row r="89" spans="1:6" x14ac:dyDescent="0.25">
      <c r="A89">
        <v>2517</v>
      </c>
      <c r="B89">
        <v>2468</v>
      </c>
      <c r="C89">
        <f t="shared" si="5"/>
        <v>2492.5</v>
      </c>
      <c r="D89" s="3">
        <v>2430.31</v>
      </c>
      <c r="E89" s="3">
        <f t="shared" si="7"/>
        <v>2490.31</v>
      </c>
      <c r="F89">
        <f t="shared" si="6"/>
        <v>2492.5</v>
      </c>
    </row>
    <row r="90" spans="1:6" x14ac:dyDescent="0.25">
      <c r="A90">
        <v>2496</v>
      </c>
      <c r="B90">
        <v>2448</v>
      </c>
      <c r="C90">
        <f t="shared" si="5"/>
        <v>2472</v>
      </c>
      <c r="D90" s="3">
        <v>2401.71</v>
      </c>
      <c r="E90" s="3">
        <f t="shared" si="7"/>
        <v>2461.71</v>
      </c>
      <c r="F90">
        <f t="shared" si="6"/>
        <v>2472</v>
      </c>
    </row>
    <row r="91" spans="1:6" x14ac:dyDescent="0.25">
      <c r="A91">
        <v>2487</v>
      </c>
      <c r="B91">
        <v>2438</v>
      </c>
      <c r="C91">
        <f t="shared" si="5"/>
        <v>2462.5</v>
      </c>
      <c r="D91" s="3">
        <v>2394.56</v>
      </c>
      <c r="E91" s="3">
        <f t="shared" si="7"/>
        <v>2454.56</v>
      </c>
      <c r="F91">
        <f t="shared" si="6"/>
        <v>2462.5</v>
      </c>
    </row>
    <row r="92" spans="1:6" x14ac:dyDescent="0.25">
      <c r="A92" s="6">
        <v>2488</v>
      </c>
      <c r="B92" s="6">
        <v>2440</v>
      </c>
      <c r="C92">
        <f t="shared" si="5"/>
        <v>2464</v>
      </c>
      <c r="D92" s="8">
        <v>2386.02</v>
      </c>
      <c r="E92" s="3">
        <f t="shared" si="7"/>
        <v>2446.02</v>
      </c>
      <c r="F92">
        <f t="shared" si="6"/>
        <v>2464</v>
      </c>
    </row>
    <row r="93" spans="1:6" x14ac:dyDescent="0.25">
      <c r="A93">
        <v>2523</v>
      </c>
      <c r="B93">
        <v>2483</v>
      </c>
      <c r="C93">
        <f t="shared" si="5"/>
        <v>2503</v>
      </c>
      <c r="D93" s="3">
        <v>2390.2399999999998</v>
      </c>
      <c r="E93" s="3">
        <f t="shared" si="7"/>
        <v>2450.2399999999998</v>
      </c>
      <c r="F93">
        <f t="shared" si="6"/>
        <v>2503</v>
      </c>
    </row>
    <row r="94" spans="1:6" x14ac:dyDescent="0.25">
      <c r="A94">
        <v>2593</v>
      </c>
      <c r="B94">
        <v>2551</v>
      </c>
      <c r="C94">
        <f t="shared" si="5"/>
        <v>2572</v>
      </c>
      <c r="D94" s="3">
        <v>2453.98</v>
      </c>
      <c r="E94" s="3">
        <f t="shared" si="7"/>
        <v>2513.98</v>
      </c>
      <c r="F94">
        <f t="shared" si="6"/>
        <v>2572</v>
      </c>
    </row>
    <row r="95" spans="1:6" x14ac:dyDescent="0.25">
      <c r="A95">
        <v>2684</v>
      </c>
      <c r="B95">
        <v>2644</v>
      </c>
      <c r="C95">
        <f t="shared" si="5"/>
        <v>2664</v>
      </c>
      <c r="D95" s="3">
        <v>2556.6799999999998</v>
      </c>
      <c r="E95" s="3">
        <f t="shared" si="7"/>
        <v>2616.6799999999998</v>
      </c>
      <c r="F95">
        <f t="shared" si="6"/>
        <v>2664</v>
      </c>
    </row>
    <row r="96" spans="1:6" x14ac:dyDescent="0.25">
      <c r="A96">
        <v>2738</v>
      </c>
      <c r="B96">
        <v>2701</v>
      </c>
      <c r="C96">
        <f t="shared" si="5"/>
        <v>2719.5</v>
      </c>
      <c r="D96" s="3">
        <v>2629.47</v>
      </c>
      <c r="E96" s="3">
        <f t="shared" si="7"/>
        <v>2689.47</v>
      </c>
      <c r="F96">
        <f t="shared" si="6"/>
        <v>2719.5</v>
      </c>
    </row>
    <row r="97" spans="1:6" x14ac:dyDescent="0.25">
      <c r="A97">
        <v>2777</v>
      </c>
      <c r="B97">
        <v>2757</v>
      </c>
      <c r="C97">
        <f t="shared" si="5"/>
        <v>2767</v>
      </c>
      <c r="D97" s="3">
        <v>2686.38</v>
      </c>
      <c r="E97" s="3">
        <f t="shared" si="7"/>
        <v>2746.38</v>
      </c>
      <c r="F97">
        <f t="shared" si="6"/>
        <v>2767</v>
      </c>
    </row>
    <row r="98" spans="1:6" x14ac:dyDescent="0.25">
      <c r="A98">
        <v>2798</v>
      </c>
      <c r="B98">
        <v>2767</v>
      </c>
      <c r="C98">
        <f t="shared" si="5"/>
        <v>2782.5</v>
      </c>
      <c r="D98" s="3">
        <v>2705.75</v>
      </c>
      <c r="E98" s="3">
        <f t="shared" si="7"/>
        <v>2765.75</v>
      </c>
      <c r="F98">
        <f t="shared" si="6"/>
        <v>2782.5</v>
      </c>
    </row>
    <row r="99" spans="1:6" x14ac:dyDescent="0.25">
      <c r="A99">
        <v>2789</v>
      </c>
      <c r="B99">
        <v>2751</v>
      </c>
      <c r="C99">
        <f t="shared" si="5"/>
        <v>2770</v>
      </c>
      <c r="D99" s="3">
        <v>2687.51</v>
      </c>
      <c r="E99" s="3">
        <f t="shared" si="7"/>
        <v>2747.51</v>
      </c>
      <c r="F99">
        <f t="shared" si="6"/>
        <v>2770</v>
      </c>
    </row>
    <row r="100" spans="1:6" x14ac:dyDescent="0.25">
      <c r="A100">
        <v>2795</v>
      </c>
      <c r="B100">
        <v>2742</v>
      </c>
      <c r="C100">
        <f t="shared" si="5"/>
        <v>2768.5</v>
      </c>
      <c r="D100" s="3">
        <v>2699.74</v>
      </c>
      <c r="E100" s="3">
        <f t="shared" si="7"/>
        <v>2759.74</v>
      </c>
      <c r="F100">
        <f t="shared" si="6"/>
        <v>2768.5</v>
      </c>
    </row>
    <row r="101" spans="1:6" ht="15.75" x14ac:dyDescent="0.25">
      <c r="A101" s="21">
        <f>AVERAGE(A5:A100)*0.24</f>
        <v>603.02499999999998</v>
      </c>
      <c r="B101" s="21">
        <f>AVERAGE(B5:B100)*0.24</f>
        <v>589.42499999999995</v>
      </c>
      <c r="C101" s="21">
        <f>AVERAGE(C5:C100)*0.24</f>
        <v>596.22500000000002</v>
      </c>
      <c r="D101" s="21">
        <f>AVERAGE(D5:D100)*0.24</f>
        <v>578.98944999999992</v>
      </c>
      <c r="E101" s="21">
        <f>AVERAGE(E5:E100)*0.24</f>
        <v>584.3894499999999</v>
      </c>
      <c r="F101">
        <f>MAX(C101:E101)</f>
        <v>596.22500000000002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01"/>
  <sheetViews>
    <sheetView topLeftCell="A46" workbookViewId="0">
      <selection activeCell="E104" sqref="E104"/>
    </sheetView>
  </sheetViews>
  <sheetFormatPr defaultRowHeight="15" x14ac:dyDescent="0.25"/>
  <sheetData>
    <row r="3" spans="2:15" x14ac:dyDescent="0.25">
      <c r="B3" t="s">
        <v>16</v>
      </c>
      <c r="D3" t="s">
        <v>17</v>
      </c>
    </row>
    <row r="5" spans="2:15" x14ac:dyDescent="0.25">
      <c r="B5" s="3">
        <v>2810.43</v>
      </c>
      <c r="C5" s="3"/>
      <c r="D5" s="3">
        <v>2767.43</v>
      </c>
      <c r="E5" s="3">
        <v>2767.43</v>
      </c>
      <c r="F5">
        <v>2794</v>
      </c>
      <c r="G5" s="3">
        <f t="shared" ref="G5:G36" si="0">AVERAGE(E5:F5)</f>
        <v>2780.7150000000001</v>
      </c>
      <c r="H5" s="3"/>
      <c r="I5" s="3"/>
      <c r="J5" s="3"/>
      <c r="K5" s="3"/>
      <c r="L5" s="3"/>
      <c r="N5" s="3"/>
      <c r="O5" s="3"/>
    </row>
    <row r="6" spans="2:15" x14ac:dyDescent="0.25">
      <c r="B6" s="3">
        <v>2776.5</v>
      </c>
      <c r="C6" s="3"/>
      <c r="D6" s="3">
        <v>2733.5</v>
      </c>
      <c r="E6" s="3">
        <v>2733.5</v>
      </c>
      <c r="F6">
        <v>2769</v>
      </c>
      <c r="G6" s="3">
        <f t="shared" si="0"/>
        <v>2751.25</v>
      </c>
      <c r="H6" s="3"/>
      <c r="I6" s="3"/>
      <c r="J6" s="3"/>
      <c r="K6" s="3"/>
      <c r="L6" s="3"/>
      <c r="N6" s="3"/>
      <c r="O6" s="3"/>
    </row>
    <row r="7" spans="2:15" x14ac:dyDescent="0.25">
      <c r="B7" s="3">
        <v>2771.47</v>
      </c>
      <c r="C7" s="3"/>
      <c r="D7" s="3">
        <v>2728.47</v>
      </c>
      <c r="E7" s="3">
        <v>2728.47</v>
      </c>
      <c r="F7">
        <v>2764</v>
      </c>
      <c r="G7" s="3">
        <f t="shared" si="0"/>
        <v>2746.2349999999997</v>
      </c>
      <c r="H7" s="3"/>
      <c r="I7" s="3"/>
      <c r="J7" s="3"/>
      <c r="K7" s="3"/>
      <c r="L7" s="3"/>
      <c r="N7" s="3"/>
      <c r="O7" s="3"/>
    </row>
    <row r="8" spans="2:15" x14ac:dyDescent="0.25">
      <c r="B8" s="3">
        <v>2745.03</v>
      </c>
      <c r="C8" s="3"/>
      <c r="D8" s="3">
        <v>2702.03</v>
      </c>
      <c r="E8" s="3">
        <v>2702.03</v>
      </c>
      <c r="F8">
        <v>2743</v>
      </c>
      <c r="G8" s="3">
        <f t="shared" si="0"/>
        <v>2722.5150000000003</v>
      </c>
      <c r="H8" s="3"/>
      <c r="I8" s="3"/>
      <c r="J8" s="3"/>
      <c r="K8" s="3"/>
      <c r="L8" s="3"/>
      <c r="N8" s="3"/>
      <c r="O8" s="3"/>
    </row>
    <row r="9" spans="2:15" x14ac:dyDescent="0.25">
      <c r="B9" s="3">
        <v>2724</v>
      </c>
      <c r="C9" s="3"/>
      <c r="D9" s="3">
        <v>2702.57</v>
      </c>
      <c r="E9" s="3">
        <v>2702.57</v>
      </c>
      <c r="F9">
        <v>2746</v>
      </c>
      <c r="G9" s="3">
        <f t="shared" si="0"/>
        <v>2724.2849999999999</v>
      </c>
      <c r="H9" s="3"/>
      <c r="I9" s="3"/>
      <c r="J9" s="3"/>
      <c r="K9" s="3"/>
      <c r="L9" s="3"/>
      <c r="N9" s="3"/>
      <c r="O9" s="3"/>
    </row>
    <row r="10" spans="2:15" x14ac:dyDescent="0.25">
      <c r="B10" s="3">
        <v>2706.01</v>
      </c>
      <c r="C10" s="3"/>
      <c r="D10" s="3">
        <v>2663.01</v>
      </c>
      <c r="E10" s="3">
        <v>2663.01</v>
      </c>
      <c r="F10">
        <v>2721</v>
      </c>
      <c r="G10" s="3">
        <f t="shared" si="0"/>
        <v>2692.0050000000001</v>
      </c>
      <c r="H10" s="3"/>
      <c r="I10" s="3"/>
      <c r="J10" s="3"/>
      <c r="K10" s="3"/>
      <c r="L10" s="3"/>
      <c r="N10" s="3"/>
      <c r="O10" s="3"/>
    </row>
    <row r="11" spans="2:15" x14ac:dyDescent="0.25">
      <c r="B11" s="3">
        <v>2695.72</v>
      </c>
      <c r="C11" s="3"/>
      <c r="D11" s="3">
        <v>2652.72</v>
      </c>
      <c r="E11" s="3">
        <v>2652.72</v>
      </c>
      <c r="F11">
        <v>2716</v>
      </c>
      <c r="G11" s="3">
        <f t="shared" si="0"/>
        <v>2684.3599999999997</v>
      </c>
      <c r="H11" s="3"/>
      <c r="I11" s="3"/>
      <c r="J11" s="3"/>
      <c r="K11" s="3"/>
      <c r="L11" s="3"/>
      <c r="N11" s="3"/>
      <c r="O11" s="3"/>
    </row>
    <row r="12" spans="2:15" x14ac:dyDescent="0.25">
      <c r="B12" s="3">
        <v>2693.6</v>
      </c>
      <c r="C12" s="3"/>
      <c r="D12" s="3">
        <v>2650.6</v>
      </c>
      <c r="E12" s="3">
        <v>2650.6</v>
      </c>
      <c r="F12">
        <v>2715</v>
      </c>
      <c r="G12" s="3">
        <f t="shared" si="0"/>
        <v>2682.8</v>
      </c>
      <c r="H12" s="3"/>
      <c r="I12" s="3"/>
      <c r="J12" s="3"/>
      <c r="K12" s="3"/>
      <c r="L12" s="3"/>
      <c r="N12" s="3"/>
      <c r="O12" s="3"/>
    </row>
    <row r="13" spans="2:15" x14ac:dyDescent="0.25">
      <c r="B13" s="3">
        <v>2681.62</v>
      </c>
      <c r="C13" s="3"/>
      <c r="D13" s="3">
        <v>2638.62</v>
      </c>
      <c r="E13" s="3">
        <v>2638.62</v>
      </c>
      <c r="F13">
        <v>2711</v>
      </c>
      <c r="G13" s="3">
        <f t="shared" si="0"/>
        <v>2674.81</v>
      </c>
      <c r="H13" s="3"/>
      <c r="I13" s="3"/>
      <c r="J13" s="3"/>
      <c r="K13" s="3"/>
      <c r="L13" s="3"/>
      <c r="N13" s="3"/>
      <c r="O13" s="3"/>
    </row>
    <row r="14" spans="2:15" x14ac:dyDescent="0.25">
      <c r="B14" s="3">
        <v>2660.12</v>
      </c>
      <c r="C14" s="3"/>
      <c r="D14" s="3">
        <v>2617.12</v>
      </c>
      <c r="E14" s="3">
        <v>2617.12</v>
      </c>
      <c r="F14">
        <v>2681</v>
      </c>
      <c r="G14" s="3">
        <f t="shared" si="0"/>
        <v>2649.06</v>
      </c>
      <c r="H14" s="3"/>
      <c r="I14" s="3"/>
      <c r="J14" s="3"/>
      <c r="K14" s="3"/>
      <c r="L14" s="3"/>
      <c r="N14" s="3"/>
      <c r="O14" s="3"/>
    </row>
    <row r="15" spans="2:15" x14ac:dyDescent="0.25">
      <c r="B15" s="3">
        <v>2634.98</v>
      </c>
      <c r="C15" s="3"/>
      <c r="D15" s="3">
        <v>2591.98</v>
      </c>
      <c r="E15" s="3">
        <v>2591.98</v>
      </c>
      <c r="F15">
        <v>2674</v>
      </c>
      <c r="G15" s="3">
        <f t="shared" si="0"/>
        <v>2632.99</v>
      </c>
      <c r="H15" s="3"/>
      <c r="I15" s="3"/>
      <c r="J15" s="3"/>
      <c r="K15" s="3"/>
      <c r="L15" s="3"/>
      <c r="N15" s="3"/>
      <c r="O15" s="3"/>
    </row>
    <row r="16" spans="2:15" x14ac:dyDescent="0.25">
      <c r="B16" s="3">
        <v>2616.5100000000002</v>
      </c>
      <c r="C16" s="3"/>
      <c r="D16" s="3">
        <v>2573.5100000000002</v>
      </c>
      <c r="E16" s="3">
        <v>2573.5100000000002</v>
      </c>
      <c r="F16">
        <v>2661</v>
      </c>
      <c r="G16" s="3">
        <f t="shared" si="0"/>
        <v>2617.2550000000001</v>
      </c>
      <c r="H16" s="3"/>
      <c r="I16" s="3"/>
      <c r="J16" s="3"/>
      <c r="K16" s="3"/>
      <c r="L16" s="3"/>
      <c r="N16" s="3"/>
      <c r="O16" s="3"/>
    </row>
    <row r="17" spans="2:15" x14ac:dyDescent="0.25">
      <c r="B17" s="3">
        <v>2606.9299999999998</v>
      </c>
      <c r="C17" s="3"/>
      <c r="D17" s="3">
        <v>2563.9299999999998</v>
      </c>
      <c r="E17" s="3">
        <v>2563.9299999999998</v>
      </c>
      <c r="F17">
        <v>2655</v>
      </c>
      <c r="G17" s="3">
        <f t="shared" si="0"/>
        <v>2609.4650000000001</v>
      </c>
      <c r="H17" s="3"/>
      <c r="I17" s="3"/>
      <c r="J17" s="3"/>
      <c r="K17" s="3"/>
      <c r="L17" s="3"/>
      <c r="N17" s="3"/>
      <c r="O17" s="3"/>
    </row>
    <row r="18" spans="2:15" x14ac:dyDescent="0.25">
      <c r="B18" s="3">
        <v>2624.13</v>
      </c>
      <c r="C18" s="3"/>
      <c r="D18" s="3">
        <v>2581.13</v>
      </c>
      <c r="E18" s="3">
        <v>2581.13</v>
      </c>
      <c r="F18">
        <v>2664</v>
      </c>
      <c r="G18" s="3">
        <f t="shared" si="0"/>
        <v>2622.5650000000001</v>
      </c>
      <c r="H18" s="3"/>
      <c r="I18" s="3"/>
      <c r="J18" s="3"/>
      <c r="K18" s="3"/>
      <c r="L18" s="3"/>
      <c r="N18" s="3"/>
      <c r="O18" s="3"/>
    </row>
    <row r="19" spans="2:15" x14ac:dyDescent="0.25">
      <c r="B19" s="3">
        <v>2612.1</v>
      </c>
      <c r="C19" s="3"/>
      <c r="D19" s="3">
        <v>2569.1</v>
      </c>
      <c r="E19" s="3">
        <v>2569.1</v>
      </c>
      <c r="F19">
        <v>2663</v>
      </c>
      <c r="G19" s="3">
        <f t="shared" si="0"/>
        <v>2616.0500000000002</v>
      </c>
      <c r="H19" s="3"/>
      <c r="I19" s="3"/>
      <c r="J19" s="3"/>
      <c r="K19" s="3"/>
      <c r="L19" s="3"/>
      <c r="N19" s="3"/>
      <c r="O19" s="3"/>
    </row>
    <row r="20" spans="2:15" x14ac:dyDescent="0.25">
      <c r="B20" s="3">
        <v>2618.54</v>
      </c>
      <c r="C20" s="3"/>
      <c r="D20" s="3">
        <v>2575.54</v>
      </c>
      <c r="E20" s="3">
        <v>2575.54</v>
      </c>
      <c r="F20">
        <v>2670</v>
      </c>
      <c r="G20" s="3">
        <f t="shared" si="0"/>
        <v>2622.77</v>
      </c>
      <c r="H20" s="3"/>
      <c r="I20" s="3"/>
      <c r="J20" s="3"/>
      <c r="K20" s="3"/>
      <c r="L20" s="3"/>
      <c r="N20" s="3"/>
      <c r="O20" s="3"/>
    </row>
    <row r="21" spans="2:15" x14ac:dyDescent="0.25">
      <c r="B21" s="3">
        <v>2619.7800000000002</v>
      </c>
      <c r="C21" s="3"/>
      <c r="D21" s="3">
        <v>2576.7800000000002</v>
      </c>
      <c r="E21" s="3">
        <v>2576.7800000000002</v>
      </c>
      <c r="F21">
        <v>2671</v>
      </c>
      <c r="G21" s="3">
        <f t="shared" si="0"/>
        <v>2623.8900000000003</v>
      </c>
      <c r="H21" s="3"/>
      <c r="I21" s="3"/>
      <c r="J21" s="3"/>
      <c r="K21" s="3"/>
      <c r="L21" s="3"/>
      <c r="N21" s="3"/>
      <c r="O21" s="3"/>
    </row>
    <row r="22" spans="2:15" x14ac:dyDescent="0.25">
      <c r="B22" s="3">
        <v>2615.9299999999998</v>
      </c>
      <c r="C22" s="3"/>
      <c r="D22" s="3">
        <v>2572.9299999999998</v>
      </c>
      <c r="E22" s="3">
        <v>2572.9299999999998</v>
      </c>
      <c r="F22">
        <v>2666</v>
      </c>
      <c r="G22" s="3">
        <f t="shared" si="0"/>
        <v>2619.4650000000001</v>
      </c>
      <c r="H22" s="3"/>
      <c r="I22" s="3"/>
      <c r="J22" s="3"/>
      <c r="K22" s="3"/>
      <c r="L22" s="3"/>
      <c r="N22" s="3"/>
      <c r="O22" s="3"/>
    </row>
    <row r="23" spans="2:15" x14ac:dyDescent="0.25">
      <c r="B23" s="3">
        <v>2611</v>
      </c>
      <c r="C23" s="3"/>
      <c r="D23" s="3">
        <v>2572.9299999999998</v>
      </c>
      <c r="E23" s="3">
        <v>2572.9299999999998</v>
      </c>
      <c r="F23">
        <v>2672</v>
      </c>
      <c r="G23" s="3">
        <f t="shared" si="0"/>
        <v>2622.4650000000001</v>
      </c>
      <c r="H23" s="3"/>
      <c r="I23" s="3"/>
      <c r="J23" s="3"/>
      <c r="K23" s="3"/>
      <c r="L23" s="3">
        <v>2774.2999999999997</v>
      </c>
      <c r="M23">
        <v>7</v>
      </c>
      <c r="N23" s="3">
        <v>2761.6</v>
      </c>
      <c r="O23" s="3">
        <f>N23+5</f>
        <v>2766.6</v>
      </c>
    </row>
    <row r="24" spans="2:15" x14ac:dyDescent="0.25">
      <c r="B24" s="8">
        <v>2602.3000000000002</v>
      </c>
      <c r="C24" s="3"/>
      <c r="D24" s="3">
        <v>2559.3000000000002</v>
      </c>
      <c r="E24" s="3">
        <v>2559.3000000000002</v>
      </c>
      <c r="F24">
        <v>2666</v>
      </c>
      <c r="G24" s="3">
        <f t="shared" si="0"/>
        <v>2612.65</v>
      </c>
      <c r="H24" s="3"/>
      <c r="I24" s="3"/>
      <c r="J24" s="3"/>
      <c r="K24" s="3"/>
      <c r="L24" s="3">
        <v>2872.0000000000005</v>
      </c>
      <c r="M24" s="6">
        <v>8</v>
      </c>
      <c r="N24" s="3"/>
      <c r="O24" s="3">
        <f>N23+2</f>
        <v>2763.6</v>
      </c>
    </row>
    <row r="25" spans="2:15" x14ac:dyDescent="0.25">
      <c r="B25" s="3">
        <v>2611.85</v>
      </c>
      <c r="C25" s="3"/>
      <c r="D25" s="3">
        <v>2568.85</v>
      </c>
      <c r="E25" s="3">
        <v>2568.85</v>
      </c>
      <c r="F25">
        <v>2681</v>
      </c>
      <c r="G25" s="3">
        <f t="shared" si="0"/>
        <v>2624.9250000000002</v>
      </c>
      <c r="H25" s="3"/>
      <c r="I25" s="3"/>
      <c r="J25" s="3"/>
      <c r="K25" s="3"/>
      <c r="L25" s="3">
        <v>2773.2999999999997</v>
      </c>
      <c r="M25">
        <v>9</v>
      </c>
      <c r="N25" s="3"/>
      <c r="O25" s="3">
        <f>N23-5</f>
        <v>2756.6</v>
      </c>
    </row>
    <row r="26" spans="2:15" x14ac:dyDescent="0.25">
      <c r="B26" s="3">
        <v>2633.15</v>
      </c>
      <c r="C26" s="3"/>
      <c r="D26" s="3">
        <v>2590.15</v>
      </c>
      <c r="E26" s="3">
        <v>2590.15</v>
      </c>
      <c r="F26">
        <v>2705</v>
      </c>
      <c r="G26" s="3">
        <f t="shared" si="0"/>
        <v>2647.5749999999998</v>
      </c>
      <c r="H26" s="3"/>
      <c r="I26" s="3"/>
      <c r="J26" s="3"/>
      <c r="K26" s="3"/>
      <c r="L26" s="3">
        <v>2761.6</v>
      </c>
      <c r="M26">
        <v>10</v>
      </c>
      <c r="N26" s="3"/>
      <c r="O26" s="3">
        <f>N23-2</f>
        <v>2759.6</v>
      </c>
    </row>
    <row r="27" spans="2:15" x14ac:dyDescent="0.25">
      <c r="B27" s="3">
        <v>2697.09</v>
      </c>
      <c r="C27" s="3"/>
      <c r="D27" s="3">
        <v>2654.09</v>
      </c>
      <c r="E27" s="3">
        <v>2654.09</v>
      </c>
      <c r="F27">
        <v>2757</v>
      </c>
      <c r="G27" s="3">
        <f t="shared" si="0"/>
        <v>2705.5450000000001</v>
      </c>
      <c r="H27" s="3"/>
      <c r="I27" s="3"/>
      <c r="J27" s="3"/>
      <c r="K27" s="3"/>
      <c r="L27" s="3"/>
      <c r="N27" s="3"/>
      <c r="O27" s="3"/>
    </row>
    <row r="28" spans="2:15" x14ac:dyDescent="0.25">
      <c r="B28" s="3">
        <v>2701.49</v>
      </c>
      <c r="C28" s="3"/>
      <c r="D28" s="3">
        <v>2658.49</v>
      </c>
      <c r="E28" s="3">
        <v>2658.49</v>
      </c>
      <c r="F28">
        <v>2780</v>
      </c>
      <c r="G28" s="3">
        <f t="shared" si="0"/>
        <v>2719.2449999999999</v>
      </c>
      <c r="H28" s="3"/>
      <c r="I28" s="3"/>
      <c r="J28" s="3"/>
      <c r="K28" s="3"/>
      <c r="L28" s="3"/>
      <c r="N28" s="3"/>
      <c r="O28" s="3"/>
    </row>
    <row r="29" spans="2:15" x14ac:dyDescent="0.25">
      <c r="B29" s="3">
        <v>2759.55</v>
      </c>
      <c r="C29" s="3"/>
      <c r="D29" s="3">
        <v>2728.42</v>
      </c>
      <c r="E29" s="3">
        <v>2728.42</v>
      </c>
      <c r="F29">
        <v>2844</v>
      </c>
      <c r="G29" s="3">
        <f t="shared" si="0"/>
        <v>2786.21</v>
      </c>
      <c r="H29" s="3"/>
      <c r="I29" s="3"/>
      <c r="J29" s="3"/>
      <c r="K29" s="3"/>
      <c r="L29" s="3"/>
      <c r="N29" s="3"/>
      <c r="O29" s="3"/>
    </row>
    <row r="30" spans="2:15" x14ac:dyDescent="0.25">
      <c r="B30" s="3">
        <v>2829.01</v>
      </c>
      <c r="C30" s="3"/>
      <c r="D30" s="3">
        <v>2797.88</v>
      </c>
      <c r="E30" s="3">
        <v>2797.88</v>
      </c>
      <c r="F30">
        <v>2887</v>
      </c>
      <c r="G30" s="3">
        <f t="shared" si="0"/>
        <v>2842.44</v>
      </c>
      <c r="H30" s="3"/>
      <c r="I30" s="3"/>
      <c r="J30" s="3"/>
      <c r="K30" s="3"/>
      <c r="L30" s="3"/>
      <c r="N30" s="3"/>
      <c r="O30" s="3"/>
    </row>
    <row r="31" spans="2:15" x14ac:dyDescent="0.25">
      <c r="B31" s="3">
        <v>2880.3900000000003</v>
      </c>
      <c r="C31" s="3"/>
      <c r="D31" s="3">
        <v>2849.26</v>
      </c>
      <c r="E31" s="3">
        <v>2849.26</v>
      </c>
      <c r="F31">
        <v>2934</v>
      </c>
      <c r="G31" s="3">
        <f t="shared" si="0"/>
        <v>2891.63</v>
      </c>
      <c r="H31" s="3"/>
      <c r="I31" s="3"/>
      <c r="J31" s="3"/>
      <c r="K31" s="3"/>
      <c r="L31" s="3"/>
      <c r="N31" s="3"/>
      <c r="O31" s="3"/>
    </row>
    <row r="32" spans="2:15" x14ac:dyDescent="0.25">
      <c r="B32" s="3">
        <v>2886.13</v>
      </c>
      <c r="D32" s="3">
        <v>2847.3</v>
      </c>
      <c r="E32" s="3">
        <v>2847.3</v>
      </c>
      <c r="F32">
        <v>2943</v>
      </c>
      <c r="G32" s="3">
        <f t="shared" si="0"/>
        <v>2895.15</v>
      </c>
      <c r="H32" s="3"/>
      <c r="I32" s="3"/>
      <c r="J32" s="3"/>
      <c r="K32" s="3"/>
      <c r="L32" s="3"/>
      <c r="N32" s="3"/>
      <c r="O32" s="3"/>
    </row>
    <row r="33" spans="2:15" x14ac:dyDescent="0.25">
      <c r="B33" s="3">
        <v>2928.56</v>
      </c>
      <c r="C33" s="3">
        <v>2779.2999999999997</v>
      </c>
      <c r="D33" s="16">
        <v>2904.43</v>
      </c>
      <c r="E33" s="3">
        <f t="shared" ref="E33:E48" si="1">C33*1.05</f>
        <v>2918.2649999999999</v>
      </c>
      <c r="F33">
        <v>2983</v>
      </c>
      <c r="G33" s="3">
        <f t="shared" si="0"/>
        <v>2950.6324999999997</v>
      </c>
      <c r="H33" s="3"/>
      <c r="I33" s="3"/>
      <c r="J33" s="3"/>
      <c r="K33" s="3"/>
      <c r="L33" s="3"/>
      <c r="N33" s="3"/>
      <c r="O33" s="3"/>
    </row>
    <row r="34" spans="2:15" x14ac:dyDescent="0.25">
      <c r="B34" s="3">
        <v>2937.13</v>
      </c>
      <c r="C34" s="3">
        <v>2776.2999999999997</v>
      </c>
      <c r="D34" s="16">
        <v>2913</v>
      </c>
      <c r="E34" s="3">
        <f t="shared" si="1"/>
        <v>2915.1149999999998</v>
      </c>
      <c r="F34">
        <v>2986</v>
      </c>
      <c r="G34" s="3">
        <f t="shared" si="0"/>
        <v>2950.5574999999999</v>
      </c>
      <c r="H34" s="3"/>
      <c r="I34" s="3"/>
      <c r="J34" s="3"/>
      <c r="K34" s="3"/>
      <c r="L34" s="3"/>
      <c r="N34" s="3"/>
      <c r="O34" s="3"/>
    </row>
    <row r="35" spans="2:15" x14ac:dyDescent="0.25">
      <c r="B35" s="3">
        <v>2965.13</v>
      </c>
      <c r="C35" s="3">
        <v>2769.2999999999997</v>
      </c>
      <c r="D35" s="16">
        <v>2941</v>
      </c>
      <c r="E35" s="3">
        <f t="shared" si="1"/>
        <v>2907.7649999999999</v>
      </c>
      <c r="F35">
        <v>2991</v>
      </c>
      <c r="G35" s="3">
        <f t="shared" si="0"/>
        <v>2949.3824999999997</v>
      </c>
      <c r="H35" s="3"/>
      <c r="I35" s="3"/>
      <c r="J35" s="3"/>
      <c r="K35" s="3"/>
      <c r="L35" s="3"/>
      <c r="N35" s="3"/>
      <c r="O35" s="3"/>
    </row>
    <row r="36" spans="2:15" x14ac:dyDescent="0.25">
      <c r="B36" s="3">
        <v>2954.13</v>
      </c>
      <c r="C36" s="3">
        <v>2772.2999999999997</v>
      </c>
      <c r="D36" s="16">
        <v>2930</v>
      </c>
      <c r="E36" s="3">
        <f t="shared" si="1"/>
        <v>2910.915</v>
      </c>
      <c r="F36">
        <v>2933</v>
      </c>
      <c r="G36" s="3">
        <f t="shared" si="0"/>
        <v>2921.9575</v>
      </c>
      <c r="H36" s="3"/>
      <c r="I36" s="3"/>
      <c r="J36" s="3"/>
      <c r="K36" s="3"/>
      <c r="L36" s="3"/>
      <c r="N36" s="3"/>
      <c r="O36" s="3"/>
    </row>
    <row r="37" spans="2:15" x14ac:dyDescent="0.25">
      <c r="B37" s="9">
        <v>2815.4</v>
      </c>
      <c r="C37" s="3">
        <v>2877.0000000000005</v>
      </c>
      <c r="D37" s="16">
        <v>2860</v>
      </c>
      <c r="E37" s="3">
        <f t="shared" si="1"/>
        <v>3020.8500000000008</v>
      </c>
      <c r="F37">
        <v>2863</v>
      </c>
      <c r="G37" s="3">
        <f t="shared" ref="G37:G68" si="2">AVERAGE(E37:F37)</f>
        <v>2941.9250000000002</v>
      </c>
      <c r="H37" s="3"/>
      <c r="I37" s="3"/>
      <c r="J37" s="3"/>
      <c r="K37" s="3"/>
      <c r="L37" s="3"/>
      <c r="M37" s="7"/>
      <c r="N37" s="3"/>
      <c r="O37" s="3"/>
    </row>
    <row r="38" spans="2:15" x14ac:dyDescent="0.25">
      <c r="B38" s="3">
        <v>2687.4</v>
      </c>
      <c r="C38" s="3">
        <v>2874.0000000000005</v>
      </c>
      <c r="D38" s="16">
        <v>2631.57</v>
      </c>
      <c r="E38" s="3">
        <f t="shared" si="1"/>
        <v>3017.7000000000007</v>
      </c>
      <c r="F38">
        <v>2727</v>
      </c>
      <c r="G38" s="3">
        <f t="shared" si="2"/>
        <v>2872.3500000000004</v>
      </c>
      <c r="H38" s="3"/>
      <c r="I38" s="3"/>
      <c r="J38" s="3"/>
      <c r="K38" s="3"/>
      <c r="L38" s="3"/>
      <c r="N38" s="3"/>
      <c r="O38" s="3"/>
    </row>
    <row r="39" spans="2:15" x14ac:dyDescent="0.25">
      <c r="B39" s="3">
        <v>2765.4</v>
      </c>
      <c r="C39" s="3">
        <v>2867.0000000000005</v>
      </c>
      <c r="D39" s="16">
        <v>2606.09</v>
      </c>
      <c r="E39" s="3">
        <f t="shared" si="1"/>
        <v>3010.3500000000008</v>
      </c>
      <c r="F39">
        <v>2744</v>
      </c>
      <c r="G39" s="3">
        <f t="shared" si="2"/>
        <v>2877.1750000000002</v>
      </c>
      <c r="H39" s="3"/>
      <c r="I39" s="3"/>
      <c r="J39" s="3"/>
      <c r="K39" s="3"/>
      <c r="L39" s="3"/>
      <c r="N39" s="3"/>
      <c r="O39" s="3"/>
    </row>
    <row r="40" spans="2:15" x14ac:dyDescent="0.25">
      <c r="B40" s="3">
        <v>2746.78</v>
      </c>
      <c r="C40" s="3">
        <v>2870.0000000000005</v>
      </c>
      <c r="D40" s="16">
        <v>2791.38</v>
      </c>
      <c r="E40" s="3">
        <f t="shared" si="1"/>
        <v>3013.5000000000005</v>
      </c>
      <c r="F40">
        <v>2840</v>
      </c>
      <c r="G40" s="3">
        <f t="shared" si="2"/>
        <v>2926.75</v>
      </c>
      <c r="H40" s="3"/>
      <c r="I40" s="3"/>
      <c r="J40" s="3"/>
      <c r="K40" s="3"/>
      <c r="L40" s="3"/>
      <c r="N40" s="3"/>
      <c r="O40" s="3"/>
    </row>
    <row r="41" spans="2:15" x14ac:dyDescent="0.25">
      <c r="B41" s="3">
        <v>2767.02</v>
      </c>
      <c r="C41" s="3">
        <v>2778.2999999999997</v>
      </c>
      <c r="D41" s="16">
        <v>2814.12</v>
      </c>
      <c r="E41" s="3">
        <f t="shared" si="1"/>
        <v>2917.2149999999997</v>
      </c>
      <c r="F41">
        <v>2850</v>
      </c>
      <c r="G41" s="3">
        <f t="shared" si="2"/>
        <v>2883.6075000000001</v>
      </c>
      <c r="H41" s="3"/>
      <c r="I41" s="3"/>
      <c r="J41" s="3"/>
      <c r="K41" s="3"/>
      <c r="L41" s="3"/>
      <c r="N41" s="3"/>
      <c r="O41" s="3"/>
    </row>
    <row r="42" spans="2:15" x14ac:dyDescent="0.25">
      <c r="B42" s="3">
        <v>2748.05</v>
      </c>
      <c r="C42" s="3">
        <v>2775.2999999999997</v>
      </c>
      <c r="D42" s="16">
        <v>2795.15</v>
      </c>
      <c r="E42" s="3">
        <f t="shared" si="1"/>
        <v>2914.0650000000001</v>
      </c>
      <c r="F42">
        <v>2833</v>
      </c>
      <c r="G42" s="3">
        <f t="shared" si="2"/>
        <v>2873.5325000000003</v>
      </c>
      <c r="H42" s="3"/>
      <c r="I42" s="3"/>
      <c r="J42" s="3"/>
      <c r="K42" s="3"/>
      <c r="L42" s="3"/>
      <c r="N42" s="3"/>
      <c r="O42" s="3"/>
    </row>
    <row r="43" spans="2:15" x14ac:dyDescent="0.25">
      <c r="B43" s="3">
        <v>2750.51</v>
      </c>
      <c r="C43" s="3">
        <v>2768.2999999999997</v>
      </c>
      <c r="D43" s="16">
        <v>2797.61</v>
      </c>
      <c r="E43" s="3">
        <f t="shared" si="1"/>
        <v>2906.7149999999997</v>
      </c>
      <c r="F43">
        <v>2825</v>
      </c>
      <c r="G43" s="3">
        <f t="shared" si="2"/>
        <v>2865.8575000000001</v>
      </c>
      <c r="H43" s="3"/>
      <c r="I43" s="3"/>
      <c r="J43" s="3"/>
      <c r="K43" s="3"/>
      <c r="L43" s="3"/>
      <c r="N43" s="3"/>
      <c r="O43" s="3"/>
    </row>
    <row r="44" spans="2:15" x14ac:dyDescent="0.25">
      <c r="B44" s="3">
        <v>2711.15</v>
      </c>
      <c r="C44" s="3">
        <v>2771.2999999999997</v>
      </c>
      <c r="D44" s="16">
        <v>2758.25</v>
      </c>
      <c r="E44" s="3">
        <f t="shared" si="1"/>
        <v>2909.8649999999998</v>
      </c>
      <c r="F44">
        <v>2779</v>
      </c>
      <c r="G44" s="3">
        <f t="shared" si="2"/>
        <v>2844.4324999999999</v>
      </c>
      <c r="H44" s="3"/>
      <c r="I44" s="3"/>
      <c r="J44" s="3"/>
      <c r="K44" s="3"/>
      <c r="L44" s="3"/>
      <c r="N44" s="3"/>
      <c r="O44" s="3"/>
    </row>
    <row r="45" spans="2:15" x14ac:dyDescent="0.25">
      <c r="B45" s="8">
        <v>2631.0899999999997</v>
      </c>
      <c r="C45" s="3">
        <v>2766.6</v>
      </c>
      <c r="D45" s="16">
        <v>2711.72</v>
      </c>
      <c r="E45" s="3">
        <f t="shared" si="1"/>
        <v>2904.93</v>
      </c>
      <c r="F45">
        <v>2719</v>
      </c>
      <c r="G45" s="3">
        <f t="shared" si="2"/>
        <v>2811.9650000000001</v>
      </c>
      <c r="H45" s="3"/>
      <c r="I45" s="3"/>
      <c r="J45" s="3"/>
      <c r="K45" s="3"/>
      <c r="L45" s="3"/>
      <c r="M45" s="6"/>
      <c r="N45" s="3"/>
      <c r="O45" s="3"/>
    </row>
    <row r="46" spans="2:15" x14ac:dyDescent="0.25">
      <c r="B46" s="3">
        <v>2570.81</v>
      </c>
      <c r="C46" s="3">
        <v>2763.6</v>
      </c>
      <c r="D46" s="16">
        <v>2631.79</v>
      </c>
      <c r="E46" s="3">
        <f t="shared" si="1"/>
        <v>2901.78</v>
      </c>
      <c r="F46">
        <v>2656</v>
      </c>
      <c r="G46" s="3">
        <f t="shared" si="2"/>
        <v>2778.8900000000003</v>
      </c>
      <c r="H46" s="3"/>
      <c r="I46" s="3"/>
      <c r="J46" s="3"/>
      <c r="K46" s="3"/>
      <c r="L46" s="3"/>
      <c r="N46" s="3"/>
      <c r="O46" s="3"/>
    </row>
    <row r="47" spans="2:15" x14ac:dyDescent="0.25">
      <c r="B47" s="3">
        <v>2513.87</v>
      </c>
      <c r="C47" s="3">
        <v>2756.6</v>
      </c>
      <c r="D47" s="16">
        <v>2577.35</v>
      </c>
      <c r="E47" s="3">
        <f t="shared" si="1"/>
        <v>2894.43</v>
      </c>
      <c r="F47">
        <v>2601</v>
      </c>
      <c r="G47" s="3">
        <f t="shared" si="2"/>
        <v>2747.7150000000001</v>
      </c>
      <c r="H47" s="3"/>
      <c r="I47" s="3"/>
      <c r="J47" s="3"/>
      <c r="K47" s="3"/>
      <c r="L47" s="3"/>
      <c r="N47" s="3"/>
      <c r="O47" s="3"/>
    </row>
    <row r="48" spans="2:15" x14ac:dyDescent="0.25">
      <c r="B48" s="3">
        <v>2471.7199999999998</v>
      </c>
      <c r="C48" s="3">
        <v>2759.6</v>
      </c>
      <c r="D48" s="16">
        <v>2535.1999999999998</v>
      </c>
      <c r="E48" s="3">
        <f t="shared" si="1"/>
        <v>2897.58</v>
      </c>
      <c r="F48">
        <v>2565</v>
      </c>
      <c r="G48" s="3">
        <f t="shared" si="2"/>
        <v>2731.29</v>
      </c>
      <c r="H48" s="3"/>
      <c r="I48" s="3"/>
      <c r="J48" s="3"/>
      <c r="K48" s="3"/>
      <c r="L48" s="3"/>
      <c r="N48" s="3"/>
      <c r="O48" s="3"/>
    </row>
    <row r="49" spans="2:15" x14ac:dyDescent="0.25">
      <c r="B49" s="3">
        <v>2421.9</v>
      </c>
      <c r="C49" s="3"/>
      <c r="D49" s="3">
        <v>2494.86</v>
      </c>
      <c r="E49" s="3">
        <v>2494.86</v>
      </c>
      <c r="F49">
        <v>2522</v>
      </c>
      <c r="G49" s="3">
        <f t="shared" si="2"/>
        <v>2508.4300000000003</v>
      </c>
      <c r="H49" s="3"/>
      <c r="I49" s="3"/>
      <c r="J49" s="3"/>
      <c r="K49" s="3"/>
      <c r="L49" s="3"/>
      <c r="N49" s="3"/>
      <c r="O49" s="3"/>
    </row>
    <row r="50" spans="2:15" x14ac:dyDescent="0.25">
      <c r="B50" s="3">
        <v>2395.04</v>
      </c>
      <c r="C50" s="3"/>
      <c r="D50" s="3">
        <v>2296.0500000000002</v>
      </c>
      <c r="E50" s="3">
        <v>2296.0500000000002</v>
      </c>
      <c r="F50">
        <v>2408</v>
      </c>
      <c r="G50" s="3">
        <f t="shared" si="2"/>
        <v>2352.0250000000001</v>
      </c>
      <c r="H50" s="3"/>
      <c r="I50" s="3"/>
      <c r="J50" s="3"/>
      <c r="K50" s="3"/>
      <c r="L50" s="3"/>
      <c r="N50" s="3"/>
      <c r="O50" s="3"/>
    </row>
    <row r="51" spans="2:15" x14ac:dyDescent="0.25">
      <c r="B51" s="3">
        <v>2352.6799999999998</v>
      </c>
      <c r="C51" s="3"/>
      <c r="D51" s="3">
        <v>2425.64</v>
      </c>
      <c r="E51" s="3">
        <v>2425.64</v>
      </c>
      <c r="F51">
        <v>2430</v>
      </c>
      <c r="G51" s="3">
        <f t="shared" si="2"/>
        <v>2427.8199999999997</v>
      </c>
      <c r="H51" s="3"/>
      <c r="I51" s="3"/>
      <c r="J51" s="3"/>
      <c r="K51" s="3"/>
      <c r="L51" s="3"/>
      <c r="N51" s="3"/>
      <c r="O51" s="3"/>
    </row>
    <row r="52" spans="2:15" x14ac:dyDescent="0.25">
      <c r="B52" s="3">
        <v>2328.9</v>
      </c>
      <c r="C52" s="3"/>
      <c r="D52" s="3">
        <v>2401.86</v>
      </c>
      <c r="E52" s="3">
        <v>2401.86</v>
      </c>
      <c r="F52">
        <v>2399</v>
      </c>
      <c r="G52" s="3">
        <f t="shared" si="2"/>
        <v>2400.4300000000003</v>
      </c>
      <c r="H52" s="3"/>
      <c r="I52" s="3"/>
      <c r="J52" s="3"/>
      <c r="K52" s="3"/>
      <c r="L52" s="3"/>
      <c r="N52" s="3"/>
      <c r="O52" s="3"/>
    </row>
    <row r="53" spans="2:15" x14ac:dyDescent="0.25">
      <c r="B53" s="3">
        <v>2275.04</v>
      </c>
      <c r="C53" s="3"/>
      <c r="D53" s="3">
        <v>2318.4699999999998</v>
      </c>
      <c r="E53" s="3">
        <v>2318.4699999999998</v>
      </c>
      <c r="F53">
        <v>2335</v>
      </c>
      <c r="G53" s="3">
        <f t="shared" si="2"/>
        <v>2326.7349999999997</v>
      </c>
      <c r="H53" s="3"/>
      <c r="I53" s="3"/>
      <c r="J53" s="3"/>
      <c r="K53" s="3"/>
      <c r="L53" s="3"/>
      <c r="N53" s="3"/>
      <c r="O53" s="3"/>
    </row>
    <row r="54" spans="2:15" x14ac:dyDescent="0.25">
      <c r="B54" s="3">
        <v>2252.11</v>
      </c>
      <c r="C54" s="3"/>
      <c r="D54" s="3">
        <v>2263.98</v>
      </c>
      <c r="E54" s="3">
        <v>2263.98</v>
      </c>
      <c r="F54">
        <v>2280</v>
      </c>
      <c r="G54" s="3">
        <f t="shared" si="2"/>
        <v>2271.9899999999998</v>
      </c>
      <c r="H54" s="3"/>
      <c r="I54" s="3"/>
      <c r="J54" s="3"/>
      <c r="K54" s="3"/>
      <c r="L54" s="3"/>
      <c r="N54" s="3"/>
      <c r="O54" s="3"/>
    </row>
    <row r="55" spans="2:15" x14ac:dyDescent="0.25">
      <c r="B55" s="3">
        <v>2213.11</v>
      </c>
      <c r="C55" s="3"/>
      <c r="D55" s="3">
        <v>2227.04</v>
      </c>
      <c r="E55" s="3">
        <v>2227.04</v>
      </c>
      <c r="F55">
        <v>2281</v>
      </c>
      <c r="G55" s="3">
        <f t="shared" si="2"/>
        <v>2254.02</v>
      </c>
      <c r="H55" s="3"/>
      <c r="I55" s="3"/>
      <c r="J55" s="3"/>
      <c r="K55" s="3"/>
      <c r="L55" s="3"/>
      <c r="N55" s="3"/>
      <c r="O55" s="3"/>
    </row>
    <row r="56" spans="2:15" x14ac:dyDescent="0.25">
      <c r="B56" s="3">
        <v>2189.7000000000003</v>
      </c>
      <c r="C56" s="3"/>
      <c r="D56" s="3">
        <v>2231.59</v>
      </c>
      <c r="E56" s="3">
        <v>2231.59</v>
      </c>
      <c r="F56">
        <v>2294</v>
      </c>
      <c r="G56" s="3">
        <f t="shared" si="2"/>
        <v>2262.7950000000001</v>
      </c>
      <c r="H56" s="3"/>
      <c r="I56" s="3"/>
      <c r="J56" s="3"/>
      <c r="K56" s="3"/>
      <c r="L56" s="3"/>
      <c r="N56" s="3"/>
      <c r="O56" s="3"/>
    </row>
    <row r="57" spans="2:15" x14ac:dyDescent="0.25">
      <c r="B57" s="3">
        <v>2222.88</v>
      </c>
      <c r="C57" s="3"/>
      <c r="D57" s="3">
        <v>2264.77</v>
      </c>
      <c r="E57" s="3">
        <v>2264.77</v>
      </c>
      <c r="F57">
        <v>2321</v>
      </c>
      <c r="G57" s="3">
        <f t="shared" si="2"/>
        <v>2292.8850000000002</v>
      </c>
      <c r="H57" s="3"/>
      <c r="I57" s="3"/>
      <c r="J57" s="3"/>
      <c r="K57" s="3"/>
      <c r="L57" s="3"/>
      <c r="N57" s="3"/>
      <c r="O57" s="3"/>
    </row>
    <row r="58" spans="2:15" x14ac:dyDescent="0.25">
      <c r="B58" s="3">
        <v>2263.11</v>
      </c>
      <c r="C58" s="3"/>
      <c r="D58" s="3">
        <v>2267.6</v>
      </c>
      <c r="E58" s="3">
        <v>2267.6</v>
      </c>
      <c r="F58">
        <v>2329</v>
      </c>
      <c r="G58" s="3">
        <f t="shared" si="2"/>
        <v>2298.3000000000002</v>
      </c>
      <c r="H58" s="3"/>
      <c r="I58" s="3"/>
      <c r="J58" s="3"/>
      <c r="K58" s="3"/>
      <c r="L58" s="3"/>
      <c r="N58" s="3"/>
      <c r="O58" s="3"/>
    </row>
    <row r="59" spans="2:15" x14ac:dyDescent="0.25">
      <c r="B59" s="3">
        <v>2278.11</v>
      </c>
      <c r="C59" s="3"/>
      <c r="D59" s="3">
        <v>2279.91</v>
      </c>
      <c r="E59" s="3">
        <v>2279.91</v>
      </c>
      <c r="F59">
        <v>2334</v>
      </c>
      <c r="G59" s="3">
        <f t="shared" si="2"/>
        <v>2306.9549999999999</v>
      </c>
      <c r="H59" s="3"/>
      <c r="I59" s="3"/>
      <c r="J59" s="3"/>
      <c r="K59" s="3"/>
      <c r="L59" s="3"/>
      <c r="N59" s="3"/>
      <c r="O59" s="3"/>
    </row>
    <row r="60" spans="2:15" x14ac:dyDescent="0.25">
      <c r="B60" s="3">
        <v>2284.4700000000003</v>
      </c>
      <c r="C60" s="3"/>
      <c r="D60" s="3">
        <v>2306.86</v>
      </c>
      <c r="E60" s="3">
        <v>2306.86</v>
      </c>
      <c r="F60">
        <v>2359</v>
      </c>
      <c r="G60" s="3">
        <f t="shared" si="2"/>
        <v>2332.9300000000003</v>
      </c>
      <c r="H60" s="3"/>
      <c r="I60" s="3"/>
      <c r="J60" s="3"/>
      <c r="K60" s="3"/>
      <c r="L60" s="3"/>
      <c r="N60" s="3"/>
      <c r="O60" s="3"/>
    </row>
    <row r="61" spans="2:15" x14ac:dyDescent="0.25">
      <c r="B61" s="3">
        <v>2293.2400000000002</v>
      </c>
      <c r="C61" s="3"/>
      <c r="D61" s="3">
        <v>2315.63</v>
      </c>
      <c r="E61" s="3">
        <v>2315.63</v>
      </c>
      <c r="F61">
        <v>2402</v>
      </c>
      <c r="G61" s="3">
        <f t="shared" si="2"/>
        <v>2358.8150000000001</v>
      </c>
      <c r="H61" s="3"/>
      <c r="I61" s="3"/>
      <c r="J61" s="3"/>
      <c r="K61" s="3"/>
      <c r="L61" s="3"/>
      <c r="N61" s="3"/>
      <c r="O61" s="3"/>
    </row>
    <row r="62" spans="2:15" x14ac:dyDescent="0.25">
      <c r="B62" s="3">
        <v>2328.5400000000004</v>
      </c>
      <c r="C62" s="3"/>
      <c r="D62" s="3">
        <v>2296.7800000000002</v>
      </c>
      <c r="E62" s="3">
        <v>2296.7800000000002</v>
      </c>
      <c r="F62">
        <v>2401</v>
      </c>
      <c r="G62" s="3">
        <f t="shared" si="2"/>
        <v>2348.8900000000003</v>
      </c>
      <c r="H62" s="3"/>
      <c r="I62" s="3"/>
      <c r="J62" s="3"/>
      <c r="K62" s="3"/>
      <c r="L62" s="3"/>
      <c r="N62" s="3"/>
      <c r="O62" s="3"/>
    </row>
    <row r="63" spans="2:15" x14ac:dyDescent="0.25">
      <c r="B63" s="3">
        <v>2327.61</v>
      </c>
      <c r="C63" s="3"/>
      <c r="D63" s="3">
        <v>2295.85</v>
      </c>
      <c r="E63" s="3">
        <v>2295.85</v>
      </c>
      <c r="F63">
        <v>2398</v>
      </c>
      <c r="G63" s="3">
        <f t="shared" si="2"/>
        <v>2346.9250000000002</v>
      </c>
      <c r="H63" s="3"/>
      <c r="I63" s="3"/>
      <c r="J63" s="3"/>
      <c r="K63" s="3"/>
      <c r="L63" s="3"/>
      <c r="N63" s="3"/>
      <c r="O63" s="3"/>
    </row>
    <row r="64" spans="2:15" x14ac:dyDescent="0.25">
      <c r="B64" s="3">
        <v>2351.19</v>
      </c>
      <c r="C64" s="3"/>
      <c r="D64" s="3">
        <v>2319.4299999999998</v>
      </c>
      <c r="E64" s="3">
        <v>2319.4299999999998</v>
      </c>
      <c r="F64">
        <v>2423</v>
      </c>
      <c r="G64" s="3">
        <f t="shared" si="2"/>
        <v>2371.2150000000001</v>
      </c>
      <c r="H64" s="3"/>
      <c r="I64" s="3"/>
      <c r="J64" s="3"/>
      <c r="K64" s="3"/>
      <c r="L64" s="3"/>
      <c r="N64" s="3"/>
      <c r="O64" s="3"/>
    </row>
    <row r="65" spans="2:15" x14ac:dyDescent="0.25">
      <c r="B65" s="3">
        <v>2374.0800000000004</v>
      </c>
      <c r="C65" s="3"/>
      <c r="D65" s="3">
        <v>2342.3200000000002</v>
      </c>
      <c r="E65" s="3">
        <v>2342.3200000000002</v>
      </c>
      <c r="F65">
        <v>2436</v>
      </c>
      <c r="G65" s="3">
        <f t="shared" si="2"/>
        <v>2389.16</v>
      </c>
      <c r="H65" s="3"/>
      <c r="I65" s="3"/>
      <c r="J65" s="3"/>
      <c r="K65" s="3"/>
      <c r="L65" s="3"/>
      <c r="N65" s="3"/>
      <c r="O65" s="3"/>
    </row>
    <row r="66" spans="2:15" x14ac:dyDescent="0.25">
      <c r="B66" s="3">
        <v>2389.1600000000003</v>
      </c>
      <c r="C66" s="3"/>
      <c r="D66" s="3">
        <v>2353.4</v>
      </c>
      <c r="E66" s="3">
        <v>2353.4</v>
      </c>
      <c r="F66">
        <v>2443</v>
      </c>
      <c r="G66" s="3">
        <f t="shared" si="2"/>
        <v>2398.1999999999998</v>
      </c>
      <c r="H66" s="3"/>
      <c r="I66" s="3"/>
      <c r="J66" s="3"/>
      <c r="K66" s="3"/>
      <c r="L66" s="3"/>
      <c r="N66" s="3"/>
      <c r="O66" s="3"/>
    </row>
    <row r="67" spans="2:15" x14ac:dyDescent="0.25">
      <c r="B67" s="3">
        <v>2391.8300000000004</v>
      </c>
      <c r="C67" s="3"/>
      <c r="D67" s="3">
        <v>2356.0700000000002</v>
      </c>
      <c r="E67" s="3">
        <v>2356.0700000000002</v>
      </c>
      <c r="F67">
        <v>2462</v>
      </c>
      <c r="G67" s="3">
        <f t="shared" si="2"/>
        <v>2409.0349999999999</v>
      </c>
      <c r="H67" s="3"/>
      <c r="I67" s="3"/>
      <c r="J67" s="3"/>
      <c r="K67" s="3"/>
      <c r="L67" s="3"/>
      <c r="N67" s="3"/>
      <c r="O67" s="3"/>
    </row>
    <row r="68" spans="2:15" x14ac:dyDescent="0.25">
      <c r="B68" s="3">
        <v>2397.94</v>
      </c>
      <c r="C68" s="3"/>
      <c r="D68" s="3">
        <v>2362.1799999999998</v>
      </c>
      <c r="E68" s="3">
        <v>2362.1799999999998</v>
      </c>
      <c r="F68">
        <v>2471</v>
      </c>
      <c r="G68" s="3">
        <f t="shared" si="2"/>
        <v>2416.59</v>
      </c>
      <c r="H68" s="3"/>
      <c r="I68" s="3"/>
      <c r="J68" s="3"/>
      <c r="K68" s="3"/>
      <c r="L68" s="3"/>
      <c r="N68" s="3"/>
      <c r="O68" s="3"/>
    </row>
    <row r="69" spans="2:15" x14ac:dyDescent="0.25">
      <c r="B69" s="3">
        <v>2412.2400000000002</v>
      </c>
      <c r="C69" s="3"/>
      <c r="D69" s="3">
        <v>2376.48</v>
      </c>
      <c r="E69" s="3">
        <v>2376.48</v>
      </c>
      <c r="F69">
        <v>2487</v>
      </c>
      <c r="G69" s="3">
        <f t="shared" ref="G69:G100" si="3">AVERAGE(E69:F69)</f>
        <v>2431.7399999999998</v>
      </c>
      <c r="H69" s="3"/>
      <c r="I69" s="3"/>
      <c r="J69" s="3"/>
      <c r="K69" s="3"/>
      <c r="L69" s="3"/>
      <c r="N69" s="3"/>
      <c r="O69" s="3"/>
    </row>
    <row r="70" spans="2:15" x14ac:dyDescent="0.25">
      <c r="B70" s="3">
        <v>2429.64</v>
      </c>
      <c r="C70" s="3"/>
      <c r="D70" s="3">
        <v>2405.5300000000002</v>
      </c>
      <c r="E70" s="3">
        <v>2405.5300000000002</v>
      </c>
      <c r="F70">
        <v>2507</v>
      </c>
      <c r="G70" s="3">
        <f t="shared" si="3"/>
        <v>2456.2650000000003</v>
      </c>
      <c r="H70" s="3"/>
      <c r="I70" s="3"/>
      <c r="J70" s="3"/>
      <c r="K70" s="3"/>
      <c r="L70" s="3"/>
      <c r="N70" s="3"/>
      <c r="O70" s="3"/>
    </row>
    <row r="71" spans="2:15" x14ac:dyDescent="0.25">
      <c r="B71" s="3">
        <v>2435.08</v>
      </c>
      <c r="C71" s="3"/>
      <c r="D71" s="3">
        <v>2393.44</v>
      </c>
      <c r="E71" s="3">
        <v>2393.44</v>
      </c>
      <c r="F71">
        <v>2502</v>
      </c>
      <c r="G71" s="3">
        <f t="shared" si="3"/>
        <v>2447.7200000000003</v>
      </c>
      <c r="H71" s="3"/>
      <c r="I71" s="3"/>
      <c r="J71" s="3"/>
      <c r="K71" s="3"/>
      <c r="L71" s="3"/>
      <c r="N71" s="3"/>
      <c r="O71" s="3"/>
    </row>
    <row r="72" spans="2:15" x14ac:dyDescent="0.25">
      <c r="B72" s="3">
        <v>2437.64</v>
      </c>
      <c r="C72" s="3"/>
      <c r="D72" s="3">
        <v>2392.48</v>
      </c>
      <c r="E72" s="3">
        <v>2392.48</v>
      </c>
      <c r="F72">
        <v>2511</v>
      </c>
      <c r="G72" s="3">
        <f t="shared" si="3"/>
        <v>2451.7399999999998</v>
      </c>
      <c r="H72" s="3"/>
      <c r="I72" s="3"/>
      <c r="J72" s="3"/>
      <c r="K72" s="3"/>
      <c r="L72" s="3"/>
      <c r="N72" s="3"/>
      <c r="O72" s="3"/>
    </row>
    <row r="73" spans="2:15" x14ac:dyDescent="0.25">
      <c r="B73" s="3">
        <v>2448.89</v>
      </c>
      <c r="C73" s="3"/>
      <c r="D73" s="3">
        <v>2407.25</v>
      </c>
      <c r="E73" s="3">
        <v>2407.25</v>
      </c>
      <c r="F73">
        <v>2520</v>
      </c>
      <c r="G73" s="3">
        <f t="shared" si="3"/>
        <v>2463.625</v>
      </c>
      <c r="H73" s="3"/>
      <c r="I73" s="3"/>
      <c r="J73" s="3"/>
      <c r="K73" s="3"/>
      <c r="L73" s="3"/>
      <c r="N73" s="3"/>
      <c r="O73" s="3"/>
    </row>
    <row r="74" spans="2:15" x14ac:dyDescent="0.25">
      <c r="B74" s="3">
        <v>2461.77</v>
      </c>
      <c r="C74" s="3"/>
      <c r="D74" s="3">
        <v>2452.15</v>
      </c>
      <c r="E74" s="3">
        <v>2452.15</v>
      </c>
      <c r="F74">
        <v>2553</v>
      </c>
      <c r="G74" s="3">
        <f t="shared" si="3"/>
        <v>2502.5749999999998</v>
      </c>
      <c r="H74" s="3"/>
      <c r="I74" s="3"/>
      <c r="J74" s="3"/>
      <c r="K74" s="3"/>
      <c r="L74" s="3"/>
      <c r="N74" s="3"/>
      <c r="O74" s="3"/>
    </row>
    <row r="75" spans="2:15" x14ac:dyDescent="0.25">
      <c r="B75" s="3">
        <v>2483.91</v>
      </c>
      <c r="C75" s="3"/>
      <c r="D75" s="3">
        <v>2460.86</v>
      </c>
      <c r="E75" s="3">
        <v>2460.86</v>
      </c>
      <c r="F75">
        <v>2551</v>
      </c>
      <c r="G75" s="3">
        <f t="shared" si="3"/>
        <v>2505.9300000000003</v>
      </c>
      <c r="H75" s="3"/>
      <c r="I75" s="3"/>
      <c r="J75" s="3"/>
      <c r="K75" s="3"/>
      <c r="L75" s="3"/>
      <c r="N75" s="3"/>
      <c r="O75" s="3"/>
    </row>
    <row r="76" spans="2:15" x14ac:dyDescent="0.25">
      <c r="B76" s="9">
        <v>2492.65</v>
      </c>
      <c r="C76" s="3"/>
      <c r="D76" s="3">
        <v>2480.2399999999998</v>
      </c>
      <c r="E76" s="3">
        <v>2480.2399999999998</v>
      </c>
      <c r="F76">
        <v>2529</v>
      </c>
      <c r="G76" s="3">
        <f t="shared" si="3"/>
        <v>2504.62</v>
      </c>
      <c r="H76" s="3"/>
      <c r="I76" s="3"/>
      <c r="J76" s="3"/>
      <c r="K76" s="3"/>
      <c r="L76" s="3"/>
      <c r="M76" s="7"/>
      <c r="N76" s="3"/>
      <c r="O76" s="3"/>
    </row>
    <row r="77" spans="2:15" x14ac:dyDescent="0.25">
      <c r="B77" s="8">
        <v>2462.0300000000002</v>
      </c>
      <c r="C77" s="3"/>
      <c r="D77" s="3">
        <v>2407.29</v>
      </c>
      <c r="E77" s="3">
        <v>2407.29</v>
      </c>
      <c r="F77">
        <v>2462</v>
      </c>
      <c r="G77" s="3">
        <f t="shared" si="3"/>
        <v>2434.645</v>
      </c>
      <c r="H77" s="3"/>
      <c r="I77" s="3"/>
      <c r="J77" s="3"/>
      <c r="K77" s="3"/>
      <c r="L77" s="3"/>
      <c r="M77" s="6"/>
      <c r="N77" s="3"/>
      <c r="O77" s="3"/>
    </row>
    <row r="78" spans="2:15" x14ac:dyDescent="0.25">
      <c r="B78" s="3">
        <v>2398.11</v>
      </c>
      <c r="C78" s="3"/>
      <c r="D78" s="3">
        <v>2303.87</v>
      </c>
      <c r="E78" s="3">
        <v>2303.87</v>
      </c>
      <c r="F78">
        <v>2385</v>
      </c>
      <c r="G78" s="3">
        <f t="shared" si="3"/>
        <v>2344.4349999999999</v>
      </c>
      <c r="H78" s="3"/>
      <c r="I78" s="3"/>
      <c r="J78" s="3"/>
      <c r="K78" s="3"/>
      <c r="L78" s="3"/>
      <c r="N78" s="3"/>
      <c r="O78" s="3"/>
    </row>
    <row r="79" spans="2:15" x14ac:dyDescent="0.25">
      <c r="B79" s="3">
        <v>2378</v>
      </c>
      <c r="C79" s="3"/>
      <c r="D79" s="3">
        <v>2266.65</v>
      </c>
      <c r="E79" s="3">
        <v>2266.65</v>
      </c>
      <c r="F79">
        <v>2394</v>
      </c>
      <c r="G79" s="3">
        <f t="shared" si="3"/>
        <v>2330.3249999999998</v>
      </c>
      <c r="H79" s="3"/>
      <c r="I79" s="3"/>
      <c r="J79" s="3"/>
      <c r="K79" s="3"/>
      <c r="L79" s="3"/>
      <c r="N79" s="3"/>
      <c r="O79" s="3"/>
    </row>
    <row r="80" spans="2:15" x14ac:dyDescent="0.25">
      <c r="B80" s="3">
        <v>2372.81</v>
      </c>
      <c r="C80" s="3"/>
      <c r="D80" s="3">
        <v>2250.16</v>
      </c>
      <c r="E80" s="3">
        <v>2250.16</v>
      </c>
      <c r="F80">
        <v>2429</v>
      </c>
      <c r="G80" s="3">
        <f t="shared" si="3"/>
        <v>2339.58</v>
      </c>
      <c r="H80" s="3"/>
      <c r="I80" s="3"/>
      <c r="J80" s="3"/>
      <c r="K80" s="3"/>
      <c r="L80" s="3"/>
      <c r="N80" s="3"/>
      <c r="O80" s="3"/>
    </row>
    <row r="81" spans="2:15" x14ac:dyDescent="0.25">
      <c r="B81" s="3">
        <v>2470.21</v>
      </c>
      <c r="C81" s="3"/>
      <c r="D81" s="3">
        <v>2357.0300000000002</v>
      </c>
      <c r="E81" s="3">
        <v>2357.0300000000002</v>
      </c>
      <c r="F81">
        <v>2541</v>
      </c>
      <c r="G81" s="3">
        <f t="shared" si="3"/>
        <v>2449.0150000000003</v>
      </c>
      <c r="H81" s="3"/>
      <c r="I81" s="3"/>
      <c r="J81" s="3"/>
      <c r="K81" s="3"/>
      <c r="L81" s="3"/>
      <c r="N81" s="3"/>
      <c r="O81" s="3"/>
    </row>
    <row r="82" spans="2:15" x14ac:dyDescent="0.25">
      <c r="B82" s="3">
        <v>2586.61</v>
      </c>
      <c r="C82" s="3"/>
      <c r="D82" s="3">
        <v>2500.81</v>
      </c>
      <c r="E82" s="3">
        <v>2500.81</v>
      </c>
      <c r="F82">
        <v>2639</v>
      </c>
      <c r="G82" s="3">
        <f t="shared" si="3"/>
        <v>2569.9049999999997</v>
      </c>
      <c r="H82" s="3"/>
      <c r="I82" s="3"/>
      <c r="J82" s="3"/>
      <c r="K82" s="3"/>
      <c r="L82" s="3"/>
      <c r="N82" s="3"/>
      <c r="O82" s="3"/>
    </row>
    <row r="83" spans="2:15" x14ac:dyDescent="0.25">
      <c r="B83" s="3">
        <v>2680.33</v>
      </c>
      <c r="C83" s="3"/>
      <c r="D83" s="3">
        <v>2606.73</v>
      </c>
      <c r="E83" s="3">
        <v>2606.73</v>
      </c>
      <c r="F83">
        <v>2683</v>
      </c>
      <c r="G83" s="3">
        <f t="shared" si="3"/>
        <v>2644.8649999999998</v>
      </c>
      <c r="H83" s="3"/>
      <c r="I83" s="3"/>
      <c r="J83" s="3"/>
      <c r="K83" s="3"/>
      <c r="L83" s="3"/>
      <c r="N83" s="3"/>
      <c r="O83" s="3"/>
    </row>
    <row r="84" spans="2:15" x14ac:dyDescent="0.25">
      <c r="B84" s="3">
        <v>2702.34</v>
      </c>
      <c r="C84" s="3"/>
      <c r="D84" s="3">
        <v>2632.65</v>
      </c>
      <c r="E84" s="3">
        <v>2632.65</v>
      </c>
      <c r="F84">
        <v>2672</v>
      </c>
      <c r="G84" s="3">
        <f t="shared" si="3"/>
        <v>2652.3249999999998</v>
      </c>
      <c r="H84" s="3"/>
      <c r="I84" s="3"/>
      <c r="J84" s="3"/>
      <c r="K84" s="3"/>
      <c r="L84" s="3"/>
      <c r="N84" s="3"/>
      <c r="O84" s="3"/>
    </row>
    <row r="85" spans="2:15" x14ac:dyDescent="0.25">
      <c r="B85" s="3">
        <v>2652.66</v>
      </c>
      <c r="C85" s="3"/>
      <c r="D85" s="3">
        <v>2588.4699999999998</v>
      </c>
      <c r="E85" s="3">
        <v>2588.4699999999998</v>
      </c>
      <c r="F85">
        <v>2634</v>
      </c>
      <c r="G85" s="3">
        <f t="shared" si="3"/>
        <v>2611.2349999999997</v>
      </c>
      <c r="H85" s="3"/>
      <c r="I85" s="3"/>
      <c r="J85" s="3"/>
      <c r="K85" s="3"/>
      <c r="L85" s="3"/>
      <c r="N85" s="3"/>
      <c r="O85" s="3"/>
    </row>
    <row r="86" spans="2:15" x14ac:dyDescent="0.25">
      <c r="B86" s="3">
        <v>2625.79</v>
      </c>
      <c r="C86" s="3"/>
      <c r="D86" s="3">
        <v>2544.52</v>
      </c>
      <c r="E86" s="3">
        <v>2544.52</v>
      </c>
      <c r="F86">
        <v>2598</v>
      </c>
      <c r="G86" s="3">
        <f t="shared" si="3"/>
        <v>2571.2600000000002</v>
      </c>
      <c r="H86" s="3"/>
      <c r="I86" s="3"/>
      <c r="J86" s="3"/>
      <c r="K86" s="3"/>
      <c r="L86" s="3"/>
      <c r="N86" s="3"/>
      <c r="O86" s="3"/>
    </row>
    <row r="87" spans="2:15" x14ac:dyDescent="0.25">
      <c r="B87" s="3">
        <v>2581.29</v>
      </c>
      <c r="C87" s="3"/>
      <c r="D87" s="3">
        <v>2511.0300000000002</v>
      </c>
      <c r="E87" s="3">
        <v>2511.0300000000002</v>
      </c>
      <c r="F87">
        <v>2571</v>
      </c>
      <c r="G87" s="3">
        <f t="shared" si="3"/>
        <v>2541.0150000000003</v>
      </c>
      <c r="H87" s="3"/>
      <c r="I87" s="3"/>
      <c r="J87" s="3"/>
      <c r="K87" s="3"/>
      <c r="L87" s="3"/>
      <c r="N87" s="3"/>
      <c r="O87" s="3"/>
    </row>
    <row r="88" spans="2:15" x14ac:dyDescent="0.25">
      <c r="B88" s="3">
        <v>2548.3200000000002</v>
      </c>
      <c r="C88" s="3"/>
      <c r="D88" s="3">
        <v>2472.09</v>
      </c>
      <c r="E88" s="3">
        <v>2472.09</v>
      </c>
      <c r="F88">
        <v>2553</v>
      </c>
      <c r="G88" s="3">
        <f t="shared" si="3"/>
        <v>2512.5450000000001</v>
      </c>
      <c r="H88" s="3"/>
      <c r="I88" s="3"/>
      <c r="J88" s="3"/>
      <c r="K88" s="3"/>
      <c r="L88" s="3"/>
      <c r="N88" s="3"/>
      <c r="O88" s="3"/>
    </row>
    <row r="89" spans="2:15" x14ac:dyDescent="0.25">
      <c r="B89" s="3">
        <v>2543.35</v>
      </c>
      <c r="C89" s="3"/>
      <c r="D89" s="3">
        <v>2481.2399999999998</v>
      </c>
      <c r="E89" s="3">
        <v>2481.2399999999998</v>
      </c>
      <c r="F89">
        <v>2560</v>
      </c>
      <c r="G89" s="3">
        <f t="shared" si="3"/>
        <v>2520.62</v>
      </c>
      <c r="H89" s="3"/>
      <c r="I89" s="3"/>
      <c r="J89" s="3"/>
      <c r="K89" s="3"/>
      <c r="L89" s="3"/>
      <c r="N89" s="3"/>
      <c r="O89" s="3"/>
    </row>
    <row r="90" spans="2:15" x14ac:dyDescent="0.25">
      <c r="B90" s="3">
        <v>2530.6799999999998</v>
      </c>
      <c r="C90" s="3"/>
      <c r="D90" s="3">
        <v>2462.63</v>
      </c>
      <c r="E90" s="3">
        <v>2462.63</v>
      </c>
      <c r="F90">
        <v>2547</v>
      </c>
      <c r="G90" s="3">
        <f t="shared" si="3"/>
        <v>2504.8150000000001</v>
      </c>
      <c r="H90" s="3"/>
      <c r="I90" s="3"/>
      <c r="J90" s="3"/>
      <c r="K90" s="3"/>
      <c r="L90" s="3"/>
      <c r="N90" s="3"/>
      <c r="O90" s="3"/>
    </row>
    <row r="91" spans="2:15" x14ac:dyDescent="0.25">
      <c r="B91" s="3">
        <v>2526</v>
      </c>
      <c r="C91" s="3"/>
      <c r="D91" s="3">
        <v>2443.8200000000002</v>
      </c>
      <c r="E91" s="3">
        <v>2443.8200000000002</v>
      </c>
      <c r="F91">
        <v>2538</v>
      </c>
      <c r="G91" s="3">
        <f t="shared" si="3"/>
        <v>2490.91</v>
      </c>
      <c r="H91" s="3"/>
      <c r="I91" s="3"/>
      <c r="J91" s="3"/>
      <c r="K91" s="3"/>
      <c r="L91" s="3"/>
      <c r="N91" s="3"/>
      <c r="O91" s="3"/>
    </row>
    <row r="92" spans="2:15" x14ac:dyDescent="0.25">
      <c r="B92" s="8">
        <v>2515.31</v>
      </c>
      <c r="C92" s="3"/>
      <c r="D92" s="3">
        <v>2421.59</v>
      </c>
      <c r="E92" s="3">
        <v>2421.59</v>
      </c>
      <c r="F92">
        <v>2538</v>
      </c>
      <c r="G92" s="3">
        <f t="shared" si="3"/>
        <v>2479.7950000000001</v>
      </c>
      <c r="H92" s="3"/>
      <c r="I92" s="3"/>
      <c r="J92" s="3"/>
      <c r="K92" s="3"/>
      <c r="L92" s="3"/>
      <c r="M92" s="6"/>
      <c r="N92" s="3"/>
      <c r="O92" s="3"/>
    </row>
    <row r="93" spans="2:15" x14ac:dyDescent="0.25">
      <c r="B93" s="3">
        <v>2544</v>
      </c>
      <c r="C93" s="3"/>
      <c r="D93" s="3">
        <v>2421.6</v>
      </c>
      <c r="E93" s="3">
        <v>2421.6</v>
      </c>
      <c r="F93">
        <v>2605</v>
      </c>
      <c r="G93" s="3">
        <f t="shared" si="3"/>
        <v>2513.3000000000002</v>
      </c>
      <c r="H93" s="3"/>
      <c r="I93" s="3"/>
      <c r="J93" s="3"/>
      <c r="K93" s="3"/>
      <c r="L93" s="3"/>
      <c r="N93" s="3"/>
      <c r="O93" s="3"/>
    </row>
    <row r="94" spans="2:15" x14ac:dyDescent="0.25">
      <c r="B94" s="3">
        <v>2613.4</v>
      </c>
      <c r="C94" s="3"/>
      <c r="D94" s="3">
        <v>2510.65</v>
      </c>
      <c r="E94" s="3">
        <v>2510.65</v>
      </c>
      <c r="F94">
        <v>2706</v>
      </c>
      <c r="G94" s="3">
        <f t="shared" si="3"/>
        <v>2608.3249999999998</v>
      </c>
      <c r="H94" s="3"/>
      <c r="I94" s="3"/>
      <c r="J94" s="3"/>
      <c r="K94" s="3"/>
      <c r="L94" s="3"/>
      <c r="N94" s="3"/>
      <c r="O94" s="3"/>
    </row>
    <row r="95" spans="2:15" x14ac:dyDescent="0.25">
      <c r="B95" s="3">
        <v>2718</v>
      </c>
      <c r="C95" s="3"/>
      <c r="D95" s="3">
        <v>2640.06</v>
      </c>
      <c r="E95" s="3">
        <v>2640.06</v>
      </c>
      <c r="F95">
        <v>2809</v>
      </c>
      <c r="G95" s="3">
        <f t="shared" si="3"/>
        <v>2724.5299999999997</v>
      </c>
      <c r="H95" s="3"/>
      <c r="I95" s="3"/>
      <c r="J95" s="3"/>
      <c r="K95" s="3"/>
      <c r="L95" s="3"/>
      <c r="N95" s="3"/>
      <c r="O95" s="3"/>
    </row>
    <row r="96" spans="2:15" x14ac:dyDescent="0.25">
      <c r="B96" s="3">
        <v>2784</v>
      </c>
      <c r="C96" s="3"/>
      <c r="D96" s="3">
        <v>2718.66</v>
      </c>
      <c r="E96" s="3">
        <v>2718.66</v>
      </c>
      <c r="F96">
        <v>2872</v>
      </c>
      <c r="G96" s="3">
        <f t="shared" si="3"/>
        <v>2795.33</v>
      </c>
      <c r="H96" s="3"/>
      <c r="I96" s="3"/>
      <c r="J96" s="3"/>
      <c r="K96" s="3"/>
      <c r="L96" s="3"/>
      <c r="N96" s="3"/>
      <c r="O96" s="3"/>
    </row>
    <row r="97" spans="2:15" x14ac:dyDescent="0.25">
      <c r="B97" s="3">
        <v>2824</v>
      </c>
      <c r="C97" s="3"/>
      <c r="D97" s="3">
        <v>2789.12</v>
      </c>
      <c r="E97" s="3">
        <v>2789.12</v>
      </c>
      <c r="F97">
        <v>2916</v>
      </c>
      <c r="G97" s="3">
        <f t="shared" si="3"/>
        <v>2852.56</v>
      </c>
      <c r="H97" s="3"/>
      <c r="I97" s="3"/>
      <c r="J97" s="3"/>
      <c r="K97" s="3"/>
      <c r="L97" s="3"/>
      <c r="N97" s="3"/>
      <c r="O97" s="3"/>
    </row>
    <row r="98" spans="2:15" x14ac:dyDescent="0.25">
      <c r="B98" s="3">
        <v>2844</v>
      </c>
      <c r="C98" s="3"/>
      <c r="D98" s="3">
        <v>2808.79</v>
      </c>
      <c r="E98" s="3">
        <v>2808.79</v>
      </c>
      <c r="F98">
        <v>2930</v>
      </c>
      <c r="G98" s="3">
        <f t="shared" si="3"/>
        <v>2869.395</v>
      </c>
      <c r="H98" s="3"/>
      <c r="I98" s="3"/>
      <c r="J98" s="3"/>
      <c r="K98" s="3"/>
      <c r="L98" s="3"/>
      <c r="N98" s="3"/>
      <c r="O98" s="3"/>
    </row>
    <row r="99" spans="2:15" x14ac:dyDescent="0.25">
      <c r="B99" s="3">
        <v>2867</v>
      </c>
      <c r="C99" s="3"/>
      <c r="D99" s="3">
        <v>2806.98</v>
      </c>
      <c r="E99" s="3">
        <v>2806.98</v>
      </c>
      <c r="F99">
        <v>2924</v>
      </c>
      <c r="G99" s="3">
        <f t="shared" si="3"/>
        <v>2865.49</v>
      </c>
      <c r="H99" s="3"/>
      <c r="I99" s="3"/>
      <c r="J99" s="3"/>
      <c r="K99" s="3"/>
      <c r="L99" s="3"/>
      <c r="N99" s="3"/>
      <c r="O99" s="3"/>
    </row>
    <row r="100" spans="2:15" x14ac:dyDescent="0.25">
      <c r="B100" s="3">
        <v>2881</v>
      </c>
      <c r="C100" s="3"/>
      <c r="D100" s="3">
        <v>2787.83</v>
      </c>
      <c r="E100" s="3">
        <v>2787.83</v>
      </c>
      <c r="F100">
        <v>2901</v>
      </c>
      <c r="G100" s="3">
        <f t="shared" si="3"/>
        <v>2844.415</v>
      </c>
      <c r="H100" s="3"/>
      <c r="I100" s="3"/>
      <c r="J100" s="3"/>
      <c r="K100" s="3"/>
      <c r="L100" s="3"/>
      <c r="N100" s="3"/>
      <c r="O100" s="3"/>
    </row>
    <row r="101" spans="2:15" ht="15.75" x14ac:dyDescent="0.25">
      <c r="B101" s="23">
        <f t="shared" ref="B101:G101" si="4">AVERAGE(B5:B100)*0.24</f>
        <v>619.92802499999959</v>
      </c>
      <c r="C101" s="23">
        <f t="shared" si="4"/>
        <v>670.87199999999996</v>
      </c>
      <c r="D101" s="23">
        <f t="shared" si="4"/>
        <v>612.52322499999991</v>
      </c>
      <c r="E101" s="23">
        <f t="shared" si="4"/>
        <v>619.42917499999987</v>
      </c>
      <c r="F101" s="23">
        <f t="shared" si="4"/>
        <v>631.85749999999996</v>
      </c>
      <c r="G101" s="23">
        <f t="shared" si="4"/>
        <v>625.64333749999992</v>
      </c>
      <c r="H101" s="24"/>
      <c r="I101" s="24"/>
      <c r="J101" s="24"/>
      <c r="K101" s="24"/>
      <c r="L101" s="24"/>
      <c r="M101" s="24"/>
      <c r="N101" s="24"/>
      <c r="O101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9"/>
  <sheetViews>
    <sheetView topLeftCell="A64" workbookViewId="0">
      <selection activeCell="C20" sqref="C20"/>
    </sheetView>
  </sheetViews>
  <sheetFormatPr defaultRowHeight="15" x14ac:dyDescent="0.25"/>
  <cols>
    <col min="6" max="6" width="10.7109375" bestFit="1" customWidth="1"/>
  </cols>
  <sheetData>
    <row r="2" spans="4:8" x14ac:dyDescent="0.25">
      <c r="E2" t="s">
        <v>18</v>
      </c>
      <c r="F2" s="15">
        <v>43951</v>
      </c>
    </row>
    <row r="3" spans="4:8" x14ac:dyDescent="0.25">
      <c r="D3">
        <v>2868</v>
      </c>
      <c r="E3" s="3">
        <v>2763.7</v>
      </c>
      <c r="F3" s="3">
        <v>2604.6</v>
      </c>
      <c r="G3" s="3">
        <f t="shared" ref="G3:G36" si="0">AVERAGE(D3:E3)</f>
        <v>2815.85</v>
      </c>
      <c r="H3" s="3">
        <f t="shared" ref="H3:H34" si="1">G3-32</f>
        <v>2783.85</v>
      </c>
    </row>
    <row r="4" spans="4:8" x14ac:dyDescent="0.25">
      <c r="D4">
        <v>2847</v>
      </c>
      <c r="E4" s="3">
        <v>2737.27</v>
      </c>
      <c r="F4" s="3">
        <v>2567.37</v>
      </c>
      <c r="G4" s="3">
        <f t="shared" si="0"/>
        <v>2792.1350000000002</v>
      </c>
      <c r="H4" s="3">
        <f t="shared" si="1"/>
        <v>2760.1350000000002</v>
      </c>
    </row>
    <row r="5" spans="4:8" x14ac:dyDescent="0.25">
      <c r="D5">
        <v>2838</v>
      </c>
      <c r="E5" s="3">
        <v>2725.64</v>
      </c>
      <c r="F5" s="3">
        <v>2570.17</v>
      </c>
      <c r="G5" s="3">
        <f t="shared" si="0"/>
        <v>2781.8199999999997</v>
      </c>
      <c r="H5" s="3">
        <f t="shared" si="1"/>
        <v>2749.8199999999997</v>
      </c>
    </row>
    <row r="6" spans="4:8" x14ac:dyDescent="0.25">
      <c r="D6">
        <v>2828</v>
      </c>
      <c r="E6" s="3">
        <v>2722.92</v>
      </c>
      <c r="F6" s="3">
        <v>2561.89</v>
      </c>
      <c r="G6" s="3">
        <f t="shared" si="0"/>
        <v>2775.46</v>
      </c>
      <c r="H6" s="3">
        <f t="shared" si="1"/>
        <v>2743.46</v>
      </c>
    </row>
    <row r="7" spans="4:8" x14ac:dyDescent="0.25">
      <c r="D7">
        <v>2793</v>
      </c>
      <c r="E7" s="3">
        <v>2703.45</v>
      </c>
      <c r="F7" s="3">
        <v>2542.1999999999998</v>
      </c>
      <c r="G7" s="3">
        <f t="shared" si="0"/>
        <v>2748.2249999999999</v>
      </c>
      <c r="H7" s="3">
        <f t="shared" si="1"/>
        <v>2716.2249999999999</v>
      </c>
    </row>
    <row r="8" spans="4:8" x14ac:dyDescent="0.25">
      <c r="D8">
        <v>2789</v>
      </c>
      <c r="E8" s="3">
        <v>2680.38</v>
      </c>
      <c r="F8" s="3">
        <v>2510.7800000000002</v>
      </c>
      <c r="G8" s="3">
        <f t="shared" si="0"/>
        <v>2734.69</v>
      </c>
      <c r="H8" s="3">
        <f t="shared" si="1"/>
        <v>2702.69</v>
      </c>
    </row>
    <row r="9" spans="4:8" x14ac:dyDescent="0.25">
      <c r="D9">
        <v>2780</v>
      </c>
      <c r="E9" s="3">
        <v>2660.76</v>
      </c>
      <c r="F9" s="3">
        <v>2496.5</v>
      </c>
      <c r="G9" s="3">
        <f t="shared" si="0"/>
        <v>2720.38</v>
      </c>
      <c r="H9" s="3">
        <f t="shared" si="1"/>
        <v>2688.38</v>
      </c>
    </row>
    <row r="10" spans="4:8" x14ac:dyDescent="0.25">
      <c r="D10">
        <v>2786</v>
      </c>
      <c r="E10" s="3">
        <v>2649.25</v>
      </c>
      <c r="F10" s="3">
        <v>2477.37</v>
      </c>
      <c r="G10" s="3">
        <f t="shared" si="0"/>
        <v>2717.625</v>
      </c>
      <c r="H10" s="3">
        <f t="shared" si="1"/>
        <v>2685.625</v>
      </c>
    </row>
    <row r="11" spans="4:8" x14ac:dyDescent="0.25">
      <c r="D11">
        <v>2766</v>
      </c>
      <c r="E11" s="3">
        <v>2617.88</v>
      </c>
      <c r="F11" s="3">
        <v>2460.69</v>
      </c>
      <c r="G11" s="3">
        <f t="shared" si="0"/>
        <v>2691.94</v>
      </c>
      <c r="H11" s="3">
        <f t="shared" si="1"/>
        <v>2659.94</v>
      </c>
    </row>
    <row r="12" spans="4:8" x14ac:dyDescent="0.25">
      <c r="D12">
        <v>2743</v>
      </c>
      <c r="E12" s="3">
        <v>2600.3200000000002</v>
      </c>
      <c r="F12" s="3">
        <v>2441</v>
      </c>
      <c r="G12" s="3">
        <f t="shared" si="0"/>
        <v>2671.66</v>
      </c>
      <c r="H12" s="3">
        <f t="shared" si="1"/>
        <v>2639.66</v>
      </c>
    </row>
    <row r="13" spans="4:8" x14ac:dyDescent="0.25">
      <c r="D13">
        <v>2734</v>
      </c>
      <c r="E13" s="3">
        <v>2569.81</v>
      </c>
      <c r="F13" s="3">
        <v>2414.7199999999998</v>
      </c>
      <c r="G13" s="3">
        <f t="shared" si="0"/>
        <v>2651.9049999999997</v>
      </c>
      <c r="H13" s="3">
        <f t="shared" si="1"/>
        <v>2619.9049999999997</v>
      </c>
    </row>
    <row r="14" spans="4:8" x14ac:dyDescent="0.25">
      <c r="D14">
        <v>2713</v>
      </c>
      <c r="E14" s="3">
        <v>2550.0100000000002</v>
      </c>
      <c r="F14" s="3">
        <v>2400.64</v>
      </c>
      <c r="G14" s="3">
        <f t="shared" si="0"/>
        <v>2631.5050000000001</v>
      </c>
      <c r="H14" s="3">
        <f t="shared" si="1"/>
        <v>2599.5050000000001</v>
      </c>
    </row>
    <row r="15" spans="4:8" x14ac:dyDescent="0.25">
      <c r="D15">
        <v>2723</v>
      </c>
      <c r="E15" s="3">
        <v>2572.2600000000002</v>
      </c>
      <c r="F15" s="3">
        <v>2422.21</v>
      </c>
      <c r="G15" s="3">
        <f t="shared" si="0"/>
        <v>2647.63</v>
      </c>
      <c r="H15" s="3">
        <f t="shared" si="1"/>
        <v>2615.63</v>
      </c>
    </row>
    <row r="16" spans="4:8" x14ac:dyDescent="0.25">
      <c r="D16">
        <v>2718</v>
      </c>
      <c r="E16" s="3">
        <v>2558.41</v>
      </c>
      <c r="F16" s="3">
        <v>2447.39</v>
      </c>
      <c r="G16" s="3">
        <f t="shared" si="0"/>
        <v>2638.2049999999999</v>
      </c>
      <c r="H16" s="3">
        <f t="shared" si="1"/>
        <v>2606.2049999999999</v>
      </c>
    </row>
    <row r="17" spans="3:8" x14ac:dyDescent="0.25">
      <c r="D17">
        <v>2711</v>
      </c>
      <c r="E17" s="3">
        <v>2608.84</v>
      </c>
      <c r="F17" s="3">
        <v>2453.09</v>
      </c>
      <c r="G17" s="3">
        <f t="shared" si="0"/>
        <v>2659.92</v>
      </c>
      <c r="H17" s="3">
        <f t="shared" si="1"/>
        <v>2627.92</v>
      </c>
    </row>
    <row r="18" spans="3:8" x14ac:dyDescent="0.25">
      <c r="D18">
        <v>2701</v>
      </c>
      <c r="E18" s="3">
        <v>2609.65</v>
      </c>
      <c r="F18" s="3">
        <v>2438.36</v>
      </c>
      <c r="G18" s="3">
        <f t="shared" si="0"/>
        <v>2655.3249999999998</v>
      </c>
      <c r="H18" s="3">
        <f t="shared" si="1"/>
        <v>2623.3249999999998</v>
      </c>
    </row>
    <row r="19" spans="3:8" x14ac:dyDescent="0.25">
      <c r="D19">
        <v>2718</v>
      </c>
      <c r="E19" s="3">
        <v>2579.25</v>
      </c>
      <c r="F19" s="3">
        <v>2417.5700000000002</v>
      </c>
      <c r="G19" s="3">
        <f t="shared" si="0"/>
        <v>2648.625</v>
      </c>
      <c r="H19" s="3">
        <f t="shared" si="1"/>
        <v>2616.625</v>
      </c>
    </row>
    <row r="20" spans="3:8" x14ac:dyDescent="0.25">
      <c r="D20">
        <v>2689</v>
      </c>
      <c r="E20" s="3">
        <v>2553.6799999999998</v>
      </c>
      <c r="F20" s="3">
        <v>2384.63</v>
      </c>
      <c r="G20" s="3">
        <f t="shared" si="0"/>
        <v>2621.34</v>
      </c>
      <c r="H20" s="3">
        <f t="shared" si="1"/>
        <v>2589.34</v>
      </c>
    </row>
    <row r="21" spans="3:8" x14ac:dyDescent="0.25">
      <c r="D21">
        <v>2696</v>
      </c>
      <c r="E21" s="3">
        <v>2553.6799999999998</v>
      </c>
      <c r="F21" s="3">
        <v>2384.63</v>
      </c>
      <c r="G21" s="3">
        <f t="shared" si="0"/>
        <v>2624.84</v>
      </c>
      <c r="H21" s="3">
        <f t="shared" si="1"/>
        <v>2592.84</v>
      </c>
    </row>
    <row r="22" spans="3:8" x14ac:dyDescent="0.25">
      <c r="C22" s="6"/>
      <c r="D22" s="6">
        <v>2686</v>
      </c>
      <c r="E22" s="8">
        <v>2542.7399999999998</v>
      </c>
      <c r="F22" s="8">
        <v>2358.4</v>
      </c>
      <c r="G22" s="3">
        <f t="shared" si="0"/>
        <v>2614.37</v>
      </c>
      <c r="H22" s="3">
        <f t="shared" si="1"/>
        <v>2582.37</v>
      </c>
    </row>
    <row r="23" spans="3:8" x14ac:dyDescent="0.25">
      <c r="D23">
        <v>2699</v>
      </c>
      <c r="E23" s="3">
        <v>2542.7399999999998</v>
      </c>
      <c r="F23" s="3">
        <v>2376.6799999999998</v>
      </c>
      <c r="G23" s="3">
        <f t="shared" si="0"/>
        <v>2620.87</v>
      </c>
      <c r="H23" s="3">
        <f t="shared" si="1"/>
        <v>2588.87</v>
      </c>
    </row>
    <row r="24" spans="3:8" x14ac:dyDescent="0.25">
      <c r="D24">
        <v>2714</v>
      </c>
      <c r="E24" s="3">
        <v>2574.41</v>
      </c>
      <c r="F24" s="3">
        <v>2382.42</v>
      </c>
      <c r="G24" s="3">
        <f t="shared" si="0"/>
        <v>2644.2049999999999</v>
      </c>
      <c r="H24" s="3">
        <f t="shared" si="1"/>
        <v>2612.2049999999999</v>
      </c>
    </row>
    <row r="25" spans="3:8" x14ac:dyDescent="0.25">
      <c r="D25">
        <v>2737</v>
      </c>
      <c r="E25" s="3">
        <v>2622.3</v>
      </c>
      <c r="F25" s="3">
        <v>2425.0100000000002</v>
      </c>
      <c r="G25" s="3">
        <f t="shared" si="0"/>
        <v>2679.65</v>
      </c>
      <c r="H25" s="3">
        <f t="shared" si="1"/>
        <v>2647.65</v>
      </c>
    </row>
    <row r="26" spans="3:8" x14ac:dyDescent="0.25">
      <c r="D26">
        <v>2797</v>
      </c>
      <c r="E26" s="3">
        <v>2701.78</v>
      </c>
      <c r="F26" s="3">
        <v>2481.2600000000002</v>
      </c>
      <c r="G26" s="3">
        <f t="shared" si="0"/>
        <v>2749.3900000000003</v>
      </c>
      <c r="H26" s="3">
        <f t="shared" si="1"/>
        <v>2717.3900000000003</v>
      </c>
    </row>
    <row r="27" spans="3:8" x14ac:dyDescent="0.25">
      <c r="D27">
        <v>2844</v>
      </c>
      <c r="E27" s="3">
        <v>2734.22</v>
      </c>
      <c r="F27" s="3">
        <v>2512.06</v>
      </c>
      <c r="G27" s="3">
        <f t="shared" si="0"/>
        <v>2789.1099999999997</v>
      </c>
      <c r="H27" s="3">
        <f t="shared" si="1"/>
        <v>2757.1099999999997</v>
      </c>
    </row>
    <row r="28" spans="3:8" x14ac:dyDescent="0.25">
      <c r="D28">
        <v>2893</v>
      </c>
      <c r="E28" s="3">
        <v>2788.56</v>
      </c>
      <c r="F28" s="3">
        <v>2584.5500000000002</v>
      </c>
      <c r="G28" s="3">
        <f t="shared" si="0"/>
        <v>2840.7799999999997</v>
      </c>
      <c r="H28" s="3">
        <f t="shared" si="1"/>
        <v>2808.7799999999997</v>
      </c>
    </row>
    <row r="29" spans="3:8" x14ac:dyDescent="0.25">
      <c r="D29">
        <v>2923</v>
      </c>
      <c r="E29" s="3">
        <v>2788.29</v>
      </c>
      <c r="F29" s="3">
        <v>2613.35</v>
      </c>
      <c r="G29" s="3">
        <f t="shared" si="0"/>
        <v>2855.645</v>
      </c>
      <c r="H29" s="3">
        <f t="shared" si="1"/>
        <v>2823.645</v>
      </c>
    </row>
    <row r="30" spans="3:8" x14ac:dyDescent="0.25">
      <c r="D30">
        <v>2950</v>
      </c>
      <c r="E30" s="3">
        <v>2796.46</v>
      </c>
      <c r="F30" s="3">
        <v>2627.56</v>
      </c>
      <c r="G30" s="3">
        <f t="shared" si="0"/>
        <v>2873.23</v>
      </c>
      <c r="H30" s="3">
        <f t="shared" si="1"/>
        <v>2841.23</v>
      </c>
    </row>
    <row r="31" spans="3:8" x14ac:dyDescent="0.25">
      <c r="D31">
        <v>2982</v>
      </c>
      <c r="E31" s="3">
        <v>2857.24</v>
      </c>
      <c r="F31" s="3">
        <v>2707.1</v>
      </c>
      <c r="G31" s="3">
        <f t="shared" si="0"/>
        <v>2919.62</v>
      </c>
      <c r="H31" s="3">
        <f t="shared" si="1"/>
        <v>2887.62</v>
      </c>
    </row>
    <row r="32" spans="3:8" x14ac:dyDescent="0.25">
      <c r="D32">
        <v>3013</v>
      </c>
      <c r="E32" s="3">
        <v>2875.36</v>
      </c>
      <c r="F32" s="3">
        <v>2739.34</v>
      </c>
      <c r="G32" s="3">
        <f t="shared" si="0"/>
        <v>2944.1800000000003</v>
      </c>
      <c r="H32" s="3">
        <f t="shared" si="1"/>
        <v>2912.1800000000003</v>
      </c>
    </row>
    <row r="33" spans="3:8" x14ac:dyDescent="0.25">
      <c r="D33">
        <v>3036</v>
      </c>
      <c r="E33" s="3">
        <v>2918.17</v>
      </c>
      <c r="F33" s="3">
        <v>2749.51</v>
      </c>
      <c r="G33" s="3">
        <f t="shared" si="0"/>
        <v>2977.085</v>
      </c>
      <c r="H33" s="3">
        <f t="shared" si="1"/>
        <v>2945.085</v>
      </c>
    </row>
    <row r="34" spans="3:8" x14ac:dyDescent="0.25">
      <c r="D34">
        <v>3003</v>
      </c>
      <c r="E34" s="3">
        <v>2919.36</v>
      </c>
      <c r="F34" s="3">
        <v>2756.76</v>
      </c>
      <c r="G34" s="3">
        <f t="shared" si="0"/>
        <v>2961.1800000000003</v>
      </c>
      <c r="H34" s="3">
        <f t="shared" si="1"/>
        <v>2929.1800000000003</v>
      </c>
    </row>
    <row r="35" spans="3:8" x14ac:dyDescent="0.25">
      <c r="C35" s="7"/>
      <c r="D35" s="7">
        <v>2911</v>
      </c>
      <c r="E35" s="9">
        <v>2834.79</v>
      </c>
      <c r="F35" s="9">
        <v>2711.48</v>
      </c>
      <c r="G35" s="3">
        <f t="shared" si="0"/>
        <v>2872.895</v>
      </c>
      <c r="H35" s="3">
        <f t="shared" ref="H35:H66" si="2">G35-32</f>
        <v>2840.895</v>
      </c>
    </row>
    <row r="36" spans="3:8" x14ac:dyDescent="0.25">
      <c r="D36">
        <v>2838</v>
      </c>
      <c r="E36" s="3">
        <v>2795.35</v>
      </c>
      <c r="F36" s="3">
        <v>2646.22</v>
      </c>
      <c r="G36" s="3">
        <f t="shared" si="0"/>
        <v>2816.6750000000002</v>
      </c>
      <c r="H36" s="3">
        <f t="shared" si="2"/>
        <v>2784.6750000000002</v>
      </c>
    </row>
    <row r="37" spans="3:8" x14ac:dyDescent="0.25">
      <c r="D37">
        <v>2916</v>
      </c>
      <c r="E37">
        <f t="shared" ref="E37:E68" si="3">D37-80</f>
        <v>2836</v>
      </c>
      <c r="F37" s="3">
        <v>2685.48</v>
      </c>
      <c r="G37">
        <v>2836</v>
      </c>
      <c r="H37" s="3">
        <f t="shared" si="2"/>
        <v>2804</v>
      </c>
    </row>
    <row r="38" spans="3:8" x14ac:dyDescent="0.25">
      <c r="D38">
        <v>2909</v>
      </c>
      <c r="E38">
        <f t="shared" si="3"/>
        <v>2829</v>
      </c>
      <c r="F38" s="3">
        <v>2676.51</v>
      </c>
      <c r="G38">
        <v>2829</v>
      </c>
      <c r="H38" s="3">
        <f t="shared" si="2"/>
        <v>2797</v>
      </c>
    </row>
    <row r="39" spans="3:8" x14ac:dyDescent="0.25">
      <c r="D39">
        <v>2931</v>
      </c>
      <c r="E39">
        <f t="shared" si="3"/>
        <v>2851</v>
      </c>
      <c r="F39" s="3">
        <v>2666.81</v>
      </c>
      <c r="G39">
        <v>2851</v>
      </c>
      <c r="H39" s="3">
        <f t="shared" si="2"/>
        <v>2819</v>
      </c>
    </row>
    <row r="40" spans="3:8" x14ac:dyDescent="0.25">
      <c r="D40">
        <v>2896</v>
      </c>
      <c r="E40">
        <f t="shared" si="3"/>
        <v>2816</v>
      </c>
      <c r="F40" s="3">
        <v>2636.58</v>
      </c>
      <c r="G40">
        <v>2816</v>
      </c>
      <c r="H40" s="3">
        <f t="shared" si="2"/>
        <v>2784</v>
      </c>
    </row>
    <row r="41" spans="3:8" x14ac:dyDescent="0.25">
      <c r="D41">
        <v>2869</v>
      </c>
      <c r="E41">
        <f t="shared" si="3"/>
        <v>2789</v>
      </c>
      <c r="F41" s="3">
        <v>2618.0100000000002</v>
      </c>
      <c r="G41">
        <v>2789</v>
      </c>
      <c r="H41" s="3">
        <f t="shared" si="2"/>
        <v>2757</v>
      </c>
    </row>
    <row r="42" spans="3:8" x14ac:dyDescent="0.25">
      <c r="D42">
        <v>2850</v>
      </c>
      <c r="E42">
        <f t="shared" si="3"/>
        <v>2770</v>
      </c>
      <c r="F42" s="3">
        <v>2603.17</v>
      </c>
      <c r="G42">
        <v>2770</v>
      </c>
      <c r="H42" s="3">
        <f t="shared" si="2"/>
        <v>2738</v>
      </c>
    </row>
    <row r="43" spans="3:8" x14ac:dyDescent="0.25">
      <c r="C43" s="6"/>
      <c r="D43" s="6">
        <v>2784</v>
      </c>
      <c r="E43">
        <f t="shared" si="3"/>
        <v>2704</v>
      </c>
      <c r="F43" s="8">
        <v>2574.73</v>
      </c>
      <c r="G43" s="6">
        <v>2704</v>
      </c>
      <c r="H43" s="3">
        <f t="shared" si="2"/>
        <v>2672</v>
      </c>
    </row>
    <row r="44" spans="3:8" x14ac:dyDescent="0.25">
      <c r="D44">
        <v>2739</v>
      </c>
      <c r="E44">
        <f t="shared" si="3"/>
        <v>2659</v>
      </c>
      <c r="F44" s="3">
        <v>2536.98</v>
      </c>
      <c r="G44">
        <v>2659</v>
      </c>
      <c r="H44" s="3">
        <f t="shared" si="2"/>
        <v>2627</v>
      </c>
    </row>
    <row r="45" spans="3:8" x14ac:dyDescent="0.25">
      <c r="D45">
        <v>2663</v>
      </c>
      <c r="E45">
        <f t="shared" si="3"/>
        <v>2583</v>
      </c>
      <c r="F45" s="3">
        <v>2509.37</v>
      </c>
      <c r="G45">
        <v>2583</v>
      </c>
      <c r="H45" s="3">
        <f t="shared" si="2"/>
        <v>2551</v>
      </c>
    </row>
    <row r="46" spans="3:8" x14ac:dyDescent="0.25">
      <c r="D46">
        <v>2628</v>
      </c>
      <c r="E46">
        <f t="shared" si="3"/>
        <v>2548</v>
      </c>
      <c r="F46" s="3">
        <v>2473.86</v>
      </c>
      <c r="G46">
        <v>2548</v>
      </c>
      <c r="H46" s="3">
        <f t="shared" si="2"/>
        <v>2516</v>
      </c>
    </row>
    <row r="47" spans="3:8" x14ac:dyDescent="0.25">
      <c r="D47">
        <v>2614</v>
      </c>
      <c r="E47">
        <f t="shared" si="3"/>
        <v>2534</v>
      </c>
      <c r="F47" s="3">
        <v>2412.62</v>
      </c>
      <c r="G47">
        <v>2534</v>
      </c>
      <c r="H47" s="3">
        <f t="shared" si="2"/>
        <v>2502</v>
      </c>
    </row>
    <row r="48" spans="3:8" x14ac:dyDescent="0.25">
      <c r="D48">
        <v>2590</v>
      </c>
      <c r="E48">
        <f t="shared" si="3"/>
        <v>2510</v>
      </c>
      <c r="F48" s="3">
        <v>2387.13</v>
      </c>
      <c r="G48">
        <v>2510</v>
      </c>
      <c r="H48" s="3">
        <f t="shared" si="2"/>
        <v>2478</v>
      </c>
    </row>
    <row r="49" spans="4:8" x14ac:dyDescent="0.25">
      <c r="D49">
        <v>2539</v>
      </c>
      <c r="E49">
        <f t="shared" si="3"/>
        <v>2459</v>
      </c>
      <c r="F49" s="3">
        <v>2330.67</v>
      </c>
      <c r="G49">
        <v>2459</v>
      </c>
      <c r="H49" s="3">
        <f t="shared" si="2"/>
        <v>2427</v>
      </c>
    </row>
    <row r="50" spans="4:8" x14ac:dyDescent="0.25">
      <c r="D50">
        <v>2479</v>
      </c>
      <c r="E50">
        <f t="shared" si="3"/>
        <v>2399</v>
      </c>
      <c r="F50" s="3">
        <v>2297.84</v>
      </c>
      <c r="G50">
        <v>2399</v>
      </c>
      <c r="H50" s="3">
        <f t="shared" si="2"/>
        <v>2367</v>
      </c>
    </row>
    <row r="51" spans="4:8" x14ac:dyDescent="0.25">
      <c r="D51">
        <v>2442</v>
      </c>
      <c r="E51">
        <f t="shared" si="3"/>
        <v>2362</v>
      </c>
      <c r="F51" s="3">
        <v>2282.6799999999998</v>
      </c>
      <c r="G51">
        <v>2362</v>
      </c>
      <c r="H51" s="3">
        <f t="shared" si="2"/>
        <v>2330</v>
      </c>
    </row>
    <row r="52" spans="4:8" x14ac:dyDescent="0.25">
      <c r="D52">
        <v>2406</v>
      </c>
      <c r="E52">
        <f t="shared" si="3"/>
        <v>2326</v>
      </c>
      <c r="F52" s="3">
        <v>2266.7600000000002</v>
      </c>
      <c r="G52">
        <v>2326</v>
      </c>
      <c r="H52" s="3">
        <f t="shared" si="2"/>
        <v>2294</v>
      </c>
    </row>
    <row r="53" spans="4:8" x14ac:dyDescent="0.25">
      <c r="D53">
        <v>2402</v>
      </c>
      <c r="E53">
        <f t="shared" si="3"/>
        <v>2322</v>
      </c>
      <c r="F53" s="3">
        <v>2223.0700000000002</v>
      </c>
      <c r="G53">
        <v>2322</v>
      </c>
      <c r="H53" s="3">
        <f t="shared" si="2"/>
        <v>2290</v>
      </c>
    </row>
    <row r="54" spans="4:8" x14ac:dyDescent="0.25">
      <c r="D54">
        <v>2395</v>
      </c>
      <c r="E54">
        <f t="shared" si="3"/>
        <v>2315</v>
      </c>
      <c r="F54" s="3">
        <v>2203.33</v>
      </c>
      <c r="G54">
        <v>2315</v>
      </c>
      <c r="H54" s="3">
        <f t="shared" si="2"/>
        <v>2283</v>
      </c>
    </row>
    <row r="55" spans="4:8" x14ac:dyDescent="0.25">
      <c r="D55">
        <v>2427</v>
      </c>
      <c r="E55">
        <f t="shared" si="3"/>
        <v>2347</v>
      </c>
      <c r="F55" s="3">
        <v>2269.1799999999998</v>
      </c>
      <c r="G55">
        <v>2347</v>
      </c>
      <c r="H55" s="3">
        <f t="shared" si="2"/>
        <v>2315</v>
      </c>
    </row>
    <row r="56" spans="4:8" x14ac:dyDescent="0.25">
      <c r="D56">
        <v>2447</v>
      </c>
      <c r="E56">
        <f t="shared" si="3"/>
        <v>2367</v>
      </c>
      <c r="F56" s="3">
        <v>2303.2800000000002</v>
      </c>
      <c r="G56">
        <v>2367</v>
      </c>
      <c r="H56" s="3">
        <f t="shared" si="2"/>
        <v>2335</v>
      </c>
    </row>
    <row r="57" spans="4:8" x14ac:dyDescent="0.25">
      <c r="D57">
        <v>2461</v>
      </c>
      <c r="E57">
        <f t="shared" si="3"/>
        <v>2381</v>
      </c>
      <c r="F57" s="3">
        <v>2303.2800000000002</v>
      </c>
      <c r="G57">
        <v>2381</v>
      </c>
      <c r="H57" s="3">
        <f t="shared" si="2"/>
        <v>2349</v>
      </c>
    </row>
    <row r="58" spans="4:8" x14ac:dyDescent="0.25">
      <c r="D58">
        <v>2468</v>
      </c>
      <c r="E58">
        <f t="shared" si="3"/>
        <v>2388</v>
      </c>
      <c r="F58" s="3">
        <v>2318.4299999999998</v>
      </c>
      <c r="G58">
        <v>2388</v>
      </c>
      <c r="H58" s="3">
        <f t="shared" si="2"/>
        <v>2356</v>
      </c>
    </row>
    <row r="59" spans="4:8" x14ac:dyDescent="0.25">
      <c r="D59">
        <v>2472</v>
      </c>
      <c r="E59">
        <f t="shared" si="3"/>
        <v>2392</v>
      </c>
      <c r="F59" s="3">
        <v>2329.25</v>
      </c>
      <c r="G59">
        <v>2392</v>
      </c>
      <c r="H59" s="3">
        <f t="shared" si="2"/>
        <v>2360</v>
      </c>
    </row>
    <row r="60" spans="4:8" x14ac:dyDescent="0.25">
      <c r="D60">
        <v>2477</v>
      </c>
      <c r="E60">
        <f t="shared" si="3"/>
        <v>2397</v>
      </c>
      <c r="F60" s="3">
        <v>2330.71</v>
      </c>
      <c r="G60">
        <v>2397</v>
      </c>
      <c r="H60" s="3">
        <f t="shared" si="2"/>
        <v>2365</v>
      </c>
    </row>
    <row r="61" spans="4:8" x14ac:dyDescent="0.25">
      <c r="D61">
        <v>2488</v>
      </c>
      <c r="E61">
        <f t="shared" si="3"/>
        <v>2408</v>
      </c>
      <c r="F61" s="3">
        <v>2371.89</v>
      </c>
      <c r="G61">
        <v>2408</v>
      </c>
      <c r="H61" s="3">
        <f t="shared" si="2"/>
        <v>2376</v>
      </c>
    </row>
    <row r="62" spans="4:8" x14ac:dyDescent="0.25">
      <c r="D62">
        <v>2488</v>
      </c>
      <c r="E62">
        <f t="shared" si="3"/>
        <v>2408</v>
      </c>
      <c r="F62" s="3">
        <v>2371.89</v>
      </c>
      <c r="G62">
        <v>2408</v>
      </c>
      <c r="H62" s="3">
        <f t="shared" si="2"/>
        <v>2376</v>
      </c>
    </row>
    <row r="63" spans="4:8" x14ac:dyDescent="0.25">
      <c r="D63">
        <v>2509</v>
      </c>
      <c r="E63">
        <f t="shared" si="3"/>
        <v>2429</v>
      </c>
      <c r="F63" s="3">
        <v>2379.64</v>
      </c>
      <c r="G63">
        <v>2429</v>
      </c>
      <c r="H63" s="3">
        <f t="shared" si="2"/>
        <v>2397</v>
      </c>
    </row>
    <row r="64" spans="4:8" x14ac:dyDescent="0.25">
      <c r="D64">
        <v>2504</v>
      </c>
      <c r="E64">
        <f t="shared" si="3"/>
        <v>2424</v>
      </c>
      <c r="F64" s="3">
        <v>2404.63</v>
      </c>
      <c r="G64">
        <v>2424</v>
      </c>
      <c r="H64" s="3">
        <f t="shared" si="2"/>
        <v>2392</v>
      </c>
    </row>
    <row r="65" spans="3:8" x14ac:dyDescent="0.25">
      <c r="D65">
        <v>2532</v>
      </c>
      <c r="E65">
        <f t="shared" si="3"/>
        <v>2452</v>
      </c>
      <c r="F65" s="3">
        <v>2404.12</v>
      </c>
      <c r="G65">
        <v>2452</v>
      </c>
      <c r="H65" s="3">
        <f t="shared" si="2"/>
        <v>2420</v>
      </c>
    </row>
    <row r="66" spans="3:8" x14ac:dyDescent="0.25">
      <c r="D66">
        <v>2549</v>
      </c>
      <c r="E66">
        <f t="shared" si="3"/>
        <v>2469</v>
      </c>
      <c r="F66" s="3">
        <v>2404.12</v>
      </c>
      <c r="G66">
        <v>2469</v>
      </c>
      <c r="H66" s="3">
        <f t="shared" si="2"/>
        <v>2437</v>
      </c>
    </row>
    <row r="67" spans="3:8" x14ac:dyDescent="0.25">
      <c r="D67">
        <v>2568</v>
      </c>
      <c r="E67">
        <f t="shared" si="3"/>
        <v>2488</v>
      </c>
      <c r="F67" s="3">
        <v>2416.0300000000002</v>
      </c>
      <c r="G67">
        <v>2488</v>
      </c>
      <c r="H67" s="3">
        <f t="shared" ref="H67:H98" si="4">G67-32</f>
        <v>2456</v>
      </c>
    </row>
    <row r="68" spans="3:8" x14ac:dyDescent="0.25">
      <c r="D68">
        <v>2561</v>
      </c>
      <c r="E68">
        <f t="shared" si="3"/>
        <v>2481</v>
      </c>
      <c r="F68" s="3">
        <v>2403.6799999999998</v>
      </c>
      <c r="G68">
        <v>2481</v>
      </c>
      <c r="H68" s="3">
        <f t="shared" si="4"/>
        <v>2449</v>
      </c>
    </row>
    <row r="69" spans="3:8" x14ac:dyDescent="0.25">
      <c r="D69">
        <v>2564</v>
      </c>
      <c r="E69">
        <f t="shared" ref="E69:E98" si="5">D69-80</f>
        <v>2484</v>
      </c>
      <c r="F69" s="3">
        <v>2398.2600000000002</v>
      </c>
      <c r="G69">
        <v>2484</v>
      </c>
      <c r="H69" s="3">
        <f t="shared" si="4"/>
        <v>2452</v>
      </c>
    </row>
    <row r="70" spans="3:8" x14ac:dyDescent="0.25">
      <c r="D70">
        <v>2581</v>
      </c>
      <c r="E70">
        <f t="shared" si="5"/>
        <v>2501</v>
      </c>
      <c r="F70" s="3">
        <v>2390.5300000000002</v>
      </c>
      <c r="G70">
        <v>2501</v>
      </c>
      <c r="H70" s="3">
        <f t="shared" si="4"/>
        <v>2469</v>
      </c>
    </row>
    <row r="71" spans="3:8" x14ac:dyDescent="0.25">
      <c r="D71">
        <v>2578</v>
      </c>
      <c r="E71">
        <f t="shared" si="5"/>
        <v>2498</v>
      </c>
      <c r="F71" s="3">
        <v>2378.06</v>
      </c>
      <c r="G71">
        <v>2498</v>
      </c>
      <c r="H71" s="3">
        <f t="shared" si="4"/>
        <v>2466</v>
      </c>
    </row>
    <row r="72" spans="3:8" x14ac:dyDescent="0.25">
      <c r="D72">
        <v>2591</v>
      </c>
      <c r="E72">
        <f t="shared" si="5"/>
        <v>2511</v>
      </c>
      <c r="F72" s="3">
        <v>2388.38</v>
      </c>
      <c r="G72">
        <v>2511</v>
      </c>
      <c r="H72" s="3">
        <f t="shared" si="4"/>
        <v>2479</v>
      </c>
    </row>
    <row r="73" spans="3:8" x14ac:dyDescent="0.25">
      <c r="D73">
        <v>2589</v>
      </c>
      <c r="E73">
        <f t="shared" si="5"/>
        <v>2509</v>
      </c>
      <c r="F73" s="3">
        <v>2398.2399999999998</v>
      </c>
      <c r="G73">
        <v>2509</v>
      </c>
      <c r="H73" s="3">
        <f t="shared" si="4"/>
        <v>2477</v>
      </c>
    </row>
    <row r="74" spans="3:8" x14ac:dyDescent="0.25">
      <c r="C74" s="7"/>
      <c r="D74" s="7">
        <v>2536</v>
      </c>
      <c r="E74">
        <f t="shared" si="5"/>
        <v>2456</v>
      </c>
      <c r="F74" s="9">
        <v>2403.54</v>
      </c>
      <c r="G74" s="7">
        <v>2456</v>
      </c>
      <c r="H74" s="3">
        <f t="shared" si="4"/>
        <v>2424</v>
      </c>
    </row>
    <row r="75" spans="3:8" x14ac:dyDescent="0.25">
      <c r="C75" s="6"/>
      <c r="D75" s="6">
        <v>2478</v>
      </c>
      <c r="E75">
        <f t="shared" si="5"/>
        <v>2398</v>
      </c>
      <c r="F75" s="8">
        <v>2339.7600000000002</v>
      </c>
      <c r="G75" s="6">
        <v>2398</v>
      </c>
      <c r="H75" s="3">
        <f t="shared" si="4"/>
        <v>2366</v>
      </c>
    </row>
    <row r="76" spans="3:8" x14ac:dyDescent="0.25">
      <c r="D76">
        <v>2413</v>
      </c>
      <c r="E76">
        <f t="shared" si="5"/>
        <v>2333</v>
      </c>
      <c r="F76" s="3">
        <v>2281.77</v>
      </c>
      <c r="G76">
        <v>2333</v>
      </c>
      <c r="H76" s="3">
        <f t="shared" si="4"/>
        <v>2301</v>
      </c>
    </row>
    <row r="77" spans="3:8" x14ac:dyDescent="0.25">
      <c r="D77">
        <v>2421</v>
      </c>
      <c r="E77">
        <f t="shared" si="5"/>
        <v>2341</v>
      </c>
      <c r="F77" s="3">
        <v>2226.2199999999998</v>
      </c>
      <c r="G77">
        <v>2341</v>
      </c>
      <c r="H77" s="3">
        <f t="shared" si="4"/>
        <v>2309</v>
      </c>
    </row>
    <row r="78" spans="3:8" x14ac:dyDescent="0.25">
      <c r="D78">
        <v>2466</v>
      </c>
      <c r="E78">
        <f t="shared" si="5"/>
        <v>2386</v>
      </c>
      <c r="F78" s="3">
        <v>2213.92</v>
      </c>
      <c r="G78">
        <v>2386</v>
      </c>
      <c r="H78" s="3">
        <f t="shared" si="4"/>
        <v>2354</v>
      </c>
    </row>
    <row r="79" spans="3:8" x14ac:dyDescent="0.25">
      <c r="D79">
        <v>2568</v>
      </c>
      <c r="E79">
        <f t="shared" si="5"/>
        <v>2488</v>
      </c>
      <c r="F79" s="3">
        <v>2259.4499999999998</v>
      </c>
      <c r="G79">
        <v>2488</v>
      </c>
      <c r="H79" s="3">
        <f t="shared" si="4"/>
        <v>2456</v>
      </c>
    </row>
    <row r="80" spans="3:8" x14ac:dyDescent="0.25">
      <c r="D80">
        <v>2664</v>
      </c>
      <c r="E80">
        <f t="shared" si="5"/>
        <v>2584</v>
      </c>
      <c r="F80" s="3">
        <v>2386.65</v>
      </c>
      <c r="G80">
        <v>2584</v>
      </c>
      <c r="H80" s="3">
        <f t="shared" si="4"/>
        <v>2552</v>
      </c>
    </row>
    <row r="81" spans="3:8" x14ac:dyDescent="0.25">
      <c r="D81">
        <v>2714</v>
      </c>
      <c r="E81">
        <f t="shared" si="5"/>
        <v>2634</v>
      </c>
      <c r="F81" s="3">
        <v>2536.65</v>
      </c>
      <c r="G81">
        <v>2634</v>
      </c>
      <c r="H81" s="3">
        <f t="shared" si="4"/>
        <v>2602</v>
      </c>
    </row>
    <row r="82" spans="3:8" x14ac:dyDescent="0.25">
      <c r="D82">
        <v>2715</v>
      </c>
      <c r="E82">
        <f t="shared" si="5"/>
        <v>2635</v>
      </c>
      <c r="F82" s="3">
        <v>2589.66</v>
      </c>
      <c r="G82">
        <v>2635</v>
      </c>
      <c r="H82" s="3">
        <f t="shared" si="4"/>
        <v>2603</v>
      </c>
    </row>
    <row r="83" spans="3:8" x14ac:dyDescent="0.25">
      <c r="D83">
        <v>2693</v>
      </c>
      <c r="E83">
        <f t="shared" si="5"/>
        <v>2613</v>
      </c>
      <c r="F83" s="3">
        <v>2565.98</v>
      </c>
      <c r="G83">
        <v>2613</v>
      </c>
      <c r="H83" s="3">
        <f t="shared" si="4"/>
        <v>2581</v>
      </c>
    </row>
    <row r="84" spans="3:8" x14ac:dyDescent="0.25">
      <c r="D84">
        <v>2673</v>
      </c>
      <c r="E84">
        <f t="shared" si="5"/>
        <v>2593</v>
      </c>
      <c r="F84" s="3">
        <v>2532.5</v>
      </c>
      <c r="G84">
        <v>2593</v>
      </c>
      <c r="H84" s="3">
        <f t="shared" si="4"/>
        <v>2561</v>
      </c>
    </row>
    <row r="85" spans="3:8" x14ac:dyDescent="0.25">
      <c r="D85">
        <v>2667</v>
      </c>
      <c r="E85">
        <f t="shared" si="5"/>
        <v>2587</v>
      </c>
      <c r="F85" s="3">
        <v>2532.5</v>
      </c>
      <c r="G85">
        <v>2587</v>
      </c>
      <c r="H85" s="3">
        <f t="shared" si="4"/>
        <v>2555</v>
      </c>
    </row>
    <row r="86" spans="3:8" x14ac:dyDescent="0.25">
      <c r="D86">
        <v>2665</v>
      </c>
      <c r="E86">
        <f t="shared" si="5"/>
        <v>2585</v>
      </c>
      <c r="F86" s="3">
        <v>2504.02</v>
      </c>
      <c r="G86">
        <v>2585</v>
      </c>
      <c r="H86" s="3">
        <f t="shared" si="4"/>
        <v>2553</v>
      </c>
    </row>
    <row r="87" spans="3:8" x14ac:dyDescent="0.25">
      <c r="D87">
        <v>2654</v>
      </c>
      <c r="E87">
        <f t="shared" si="5"/>
        <v>2574</v>
      </c>
      <c r="F87" s="3">
        <v>2467.56</v>
      </c>
      <c r="G87">
        <v>2574</v>
      </c>
      <c r="H87" s="3">
        <f t="shared" si="4"/>
        <v>2542</v>
      </c>
    </row>
    <row r="88" spans="3:8" x14ac:dyDescent="0.25">
      <c r="D88">
        <v>2649</v>
      </c>
      <c r="E88">
        <f t="shared" si="5"/>
        <v>2569</v>
      </c>
      <c r="F88" s="3">
        <v>2475.79</v>
      </c>
      <c r="G88">
        <v>2569</v>
      </c>
      <c r="H88" s="3">
        <f t="shared" si="4"/>
        <v>2537</v>
      </c>
    </row>
    <row r="89" spans="3:8" x14ac:dyDescent="0.25">
      <c r="D89">
        <v>2650</v>
      </c>
      <c r="E89">
        <f t="shared" si="5"/>
        <v>2570</v>
      </c>
      <c r="F89" s="3">
        <v>2475.79</v>
      </c>
      <c r="G89">
        <v>2570</v>
      </c>
      <c r="H89" s="3">
        <f t="shared" si="4"/>
        <v>2538</v>
      </c>
    </row>
    <row r="90" spans="3:8" x14ac:dyDescent="0.25">
      <c r="C90" s="6"/>
      <c r="D90" s="6">
        <v>2650</v>
      </c>
      <c r="E90">
        <f t="shared" si="5"/>
        <v>2570</v>
      </c>
      <c r="F90" s="8">
        <v>2457.17</v>
      </c>
      <c r="G90" s="6">
        <v>2570</v>
      </c>
      <c r="H90" s="3">
        <f t="shared" si="4"/>
        <v>2538</v>
      </c>
    </row>
    <row r="91" spans="3:8" x14ac:dyDescent="0.25">
      <c r="D91">
        <v>2701</v>
      </c>
      <c r="E91">
        <f t="shared" si="5"/>
        <v>2621</v>
      </c>
      <c r="F91" s="3">
        <v>2452.87</v>
      </c>
      <c r="G91">
        <v>2621</v>
      </c>
      <c r="H91" s="3">
        <f t="shared" si="4"/>
        <v>2589</v>
      </c>
    </row>
    <row r="92" spans="3:8" x14ac:dyDescent="0.25">
      <c r="D92">
        <v>2795</v>
      </c>
      <c r="E92">
        <f t="shared" si="5"/>
        <v>2715</v>
      </c>
      <c r="F92" s="3">
        <v>2525.0700000000002</v>
      </c>
      <c r="G92">
        <v>2715</v>
      </c>
      <c r="H92" s="3">
        <f t="shared" si="4"/>
        <v>2683</v>
      </c>
    </row>
    <row r="93" spans="3:8" x14ac:dyDescent="0.25">
      <c r="D93">
        <v>2898</v>
      </c>
      <c r="E93">
        <f t="shared" si="5"/>
        <v>2818</v>
      </c>
      <c r="F93" s="3">
        <v>2637.42</v>
      </c>
      <c r="G93">
        <v>2818</v>
      </c>
      <c r="H93" s="3">
        <f t="shared" si="4"/>
        <v>2786</v>
      </c>
    </row>
    <row r="94" spans="3:8" x14ac:dyDescent="0.25">
      <c r="D94">
        <v>2955</v>
      </c>
      <c r="E94">
        <f t="shared" si="5"/>
        <v>2875</v>
      </c>
      <c r="F94" s="3">
        <v>2714.11</v>
      </c>
      <c r="G94">
        <v>2875</v>
      </c>
      <c r="H94" s="3">
        <f t="shared" si="4"/>
        <v>2843</v>
      </c>
    </row>
    <row r="95" spans="3:8" x14ac:dyDescent="0.25">
      <c r="D95">
        <v>3012</v>
      </c>
      <c r="E95">
        <f t="shared" si="5"/>
        <v>2932</v>
      </c>
      <c r="F95" s="3">
        <v>2759.57</v>
      </c>
      <c r="G95">
        <v>2932</v>
      </c>
      <c r="H95" s="3">
        <f t="shared" si="4"/>
        <v>2900</v>
      </c>
    </row>
    <row r="96" spans="3:8" x14ac:dyDescent="0.25">
      <c r="D96">
        <v>3012</v>
      </c>
      <c r="E96">
        <f t="shared" si="5"/>
        <v>2932</v>
      </c>
      <c r="F96" s="3">
        <v>2772.18</v>
      </c>
      <c r="G96">
        <v>2932</v>
      </c>
      <c r="H96" s="3">
        <f t="shared" si="4"/>
        <v>2900</v>
      </c>
    </row>
    <row r="97" spans="3:8" x14ac:dyDescent="0.25">
      <c r="D97">
        <v>3005</v>
      </c>
      <c r="E97">
        <f t="shared" si="5"/>
        <v>2925</v>
      </c>
      <c r="F97" s="3">
        <v>2771.96</v>
      </c>
      <c r="G97">
        <v>2925</v>
      </c>
      <c r="H97" s="3">
        <f t="shared" si="4"/>
        <v>2893</v>
      </c>
    </row>
    <row r="98" spans="3:8" x14ac:dyDescent="0.25">
      <c r="D98">
        <v>2997</v>
      </c>
      <c r="E98">
        <f t="shared" si="5"/>
        <v>2917</v>
      </c>
      <c r="F98" s="3">
        <v>2770.2</v>
      </c>
      <c r="G98">
        <v>2917</v>
      </c>
      <c r="H98" s="3">
        <f t="shared" si="4"/>
        <v>2885</v>
      </c>
    </row>
    <row r="99" spans="3:8" ht="15.75" x14ac:dyDescent="0.25">
      <c r="C99" s="21" t="e">
        <f t="shared" ref="C99:H99" si="6">AVERAGE(C3:C98)*0.24</f>
        <v>#DIV/0!</v>
      </c>
      <c r="D99" s="21">
        <f t="shared" si="6"/>
        <v>647.55999999999995</v>
      </c>
      <c r="E99" s="21">
        <f t="shared" si="6"/>
        <v>624.76482499999997</v>
      </c>
      <c r="F99" s="21">
        <f t="shared" si="6"/>
        <v>594.17255</v>
      </c>
      <c r="G99" s="21">
        <f t="shared" si="6"/>
        <v>629.96241249999991</v>
      </c>
      <c r="H99" s="21">
        <f t="shared" si="6"/>
        <v>622.28241249999996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99"/>
  <sheetViews>
    <sheetView topLeftCell="A61" workbookViewId="0">
      <selection activeCell="E76" sqref="E76"/>
    </sheetView>
  </sheetViews>
  <sheetFormatPr defaultRowHeight="15" x14ac:dyDescent="0.25"/>
  <sheetData>
    <row r="3" spans="3:8" x14ac:dyDescent="0.25">
      <c r="C3" s="2">
        <v>0</v>
      </c>
      <c r="D3">
        <v>3293</v>
      </c>
      <c r="G3">
        <v>3293</v>
      </c>
      <c r="H3">
        <f>G3-20</f>
        <v>3273</v>
      </c>
    </row>
    <row r="4" spans="3:8" x14ac:dyDescent="0.25">
      <c r="C4" s="2">
        <v>1.0416666666666666E-2</v>
      </c>
      <c r="D4">
        <v>3287</v>
      </c>
      <c r="G4">
        <v>3287</v>
      </c>
      <c r="H4">
        <f t="shared" ref="H4:H67" si="0">G4-20</f>
        <v>3267</v>
      </c>
    </row>
    <row r="5" spans="3:8" x14ac:dyDescent="0.25">
      <c r="C5" s="2">
        <v>2.0833333333333332E-2</v>
      </c>
      <c r="D5">
        <v>3291</v>
      </c>
      <c r="G5">
        <v>3291</v>
      </c>
      <c r="H5">
        <f t="shared" si="0"/>
        <v>3271</v>
      </c>
    </row>
    <row r="6" spans="3:8" x14ac:dyDescent="0.25">
      <c r="C6" s="4">
        <v>3.125E-2</v>
      </c>
      <c r="D6">
        <v>3281</v>
      </c>
      <c r="G6">
        <v>3281</v>
      </c>
      <c r="H6">
        <f t="shared" si="0"/>
        <v>3261</v>
      </c>
    </row>
    <row r="7" spans="3:8" x14ac:dyDescent="0.25">
      <c r="C7" s="4">
        <v>4.1666666666666699E-2</v>
      </c>
      <c r="D7">
        <v>3284</v>
      </c>
      <c r="G7">
        <v>3284</v>
      </c>
      <c r="H7">
        <f t="shared" si="0"/>
        <v>3264</v>
      </c>
    </row>
    <row r="8" spans="3:8" x14ac:dyDescent="0.25">
      <c r="C8" s="4">
        <v>5.2083333333333301E-2</v>
      </c>
      <c r="D8">
        <v>3277</v>
      </c>
      <c r="G8">
        <v>3277</v>
      </c>
      <c r="H8">
        <f t="shared" si="0"/>
        <v>3257</v>
      </c>
    </row>
    <row r="9" spans="3:8" x14ac:dyDescent="0.25">
      <c r="C9" s="4">
        <v>6.25E-2</v>
      </c>
      <c r="D9">
        <v>3269</v>
      </c>
      <c r="G9">
        <v>3269</v>
      </c>
      <c r="H9">
        <f t="shared" si="0"/>
        <v>3249</v>
      </c>
    </row>
    <row r="10" spans="3:8" x14ac:dyDescent="0.25">
      <c r="C10" s="4">
        <v>7.2916666666666699E-2</v>
      </c>
      <c r="D10">
        <v>3275</v>
      </c>
      <c r="G10">
        <v>3275</v>
      </c>
      <c r="H10">
        <f t="shared" si="0"/>
        <v>3255</v>
      </c>
    </row>
    <row r="11" spans="3:8" x14ac:dyDescent="0.25">
      <c r="C11" s="4">
        <v>8.3333333333333301E-2</v>
      </c>
      <c r="D11">
        <v>3260</v>
      </c>
      <c r="G11">
        <v>3260</v>
      </c>
      <c r="H11">
        <f t="shared" si="0"/>
        <v>3240</v>
      </c>
    </row>
    <row r="12" spans="3:8" x14ac:dyDescent="0.25">
      <c r="C12" s="4">
        <v>9.375E-2</v>
      </c>
      <c r="D12">
        <v>3225</v>
      </c>
      <c r="G12">
        <v>3225</v>
      </c>
      <c r="H12">
        <f t="shared" si="0"/>
        <v>3205</v>
      </c>
    </row>
    <row r="13" spans="3:8" x14ac:dyDescent="0.25">
      <c r="C13" s="4">
        <v>0.104166666666667</v>
      </c>
      <c r="D13">
        <v>3212</v>
      </c>
      <c r="G13">
        <v>3212</v>
      </c>
      <c r="H13">
        <f t="shared" si="0"/>
        <v>3192</v>
      </c>
    </row>
    <row r="14" spans="3:8" x14ac:dyDescent="0.25">
      <c r="C14" s="4">
        <v>0.114583333333333</v>
      </c>
      <c r="D14">
        <v>3190</v>
      </c>
      <c r="G14">
        <v>3190</v>
      </c>
      <c r="H14">
        <f t="shared" si="0"/>
        <v>3170</v>
      </c>
    </row>
    <row r="15" spans="3:8" x14ac:dyDescent="0.25">
      <c r="C15" s="4">
        <v>0.125</v>
      </c>
      <c r="D15">
        <v>3208</v>
      </c>
      <c r="G15">
        <v>3208</v>
      </c>
      <c r="H15">
        <f t="shared" si="0"/>
        <v>3188</v>
      </c>
    </row>
    <row r="16" spans="3:8" x14ac:dyDescent="0.25">
      <c r="C16" s="4">
        <v>0.13541666666666699</v>
      </c>
      <c r="D16">
        <v>3167</v>
      </c>
      <c r="G16">
        <v>3167</v>
      </c>
      <c r="H16">
        <f t="shared" si="0"/>
        <v>3147</v>
      </c>
    </row>
    <row r="17" spans="3:8" x14ac:dyDescent="0.25">
      <c r="C17" s="4">
        <v>0.14583333333333301</v>
      </c>
      <c r="D17">
        <v>3173</v>
      </c>
      <c r="G17">
        <v>3173</v>
      </c>
      <c r="H17">
        <f t="shared" si="0"/>
        <v>3153</v>
      </c>
    </row>
    <row r="18" spans="3:8" x14ac:dyDescent="0.25">
      <c r="C18" s="4">
        <v>0.15625</v>
      </c>
      <c r="D18">
        <v>3171</v>
      </c>
      <c r="G18">
        <v>3171</v>
      </c>
      <c r="H18">
        <f t="shared" si="0"/>
        <v>3151</v>
      </c>
    </row>
    <row r="19" spans="3:8" x14ac:dyDescent="0.25">
      <c r="C19" s="4">
        <v>0.16666666666666699</v>
      </c>
      <c r="D19">
        <v>3175</v>
      </c>
      <c r="G19">
        <v>3175</v>
      </c>
      <c r="H19">
        <f t="shared" si="0"/>
        <v>3155</v>
      </c>
    </row>
    <row r="20" spans="3:8" x14ac:dyDescent="0.25">
      <c r="C20" s="4">
        <v>0.17708333333333301</v>
      </c>
      <c r="D20">
        <v>3169</v>
      </c>
      <c r="G20">
        <v>3169</v>
      </c>
      <c r="H20">
        <f t="shared" si="0"/>
        <v>3149</v>
      </c>
    </row>
    <row r="21" spans="3:8" x14ac:dyDescent="0.25">
      <c r="C21" s="4">
        <v>0.1875</v>
      </c>
      <c r="D21">
        <v>3163</v>
      </c>
      <c r="G21">
        <v>3163</v>
      </c>
      <c r="H21">
        <f t="shared" si="0"/>
        <v>3143</v>
      </c>
    </row>
    <row r="22" spans="3:8" x14ac:dyDescent="0.25">
      <c r="C22" s="4">
        <v>0.19791666666666699</v>
      </c>
      <c r="D22">
        <v>3178</v>
      </c>
      <c r="G22">
        <v>3178</v>
      </c>
      <c r="H22">
        <f t="shared" si="0"/>
        <v>3158</v>
      </c>
    </row>
    <row r="23" spans="3:8" x14ac:dyDescent="0.25">
      <c r="C23" s="4">
        <v>0.20833333333333301</v>
      </c>
      <c r="D23">
        <v>3218</v>
      </c>
      <c r="G23">
        <v>3218</v>
      </c>
      <c r="H23">
        <f t="shared" si="0"/>
        <v>3198</v>
      </c>
    </row>
    <row r="24" spans="3:8" x14ac:dyDescent="0.25">
      <c r="C24" s="4">
        <v>0.21875</v>
      </c>
      <c r="D24">
        <v>3275</v>
      </c>
      <c r="G24">
        <v>3275</v>
      </c>
      <c r="H24">
        <f t="shared" si="0"/>
        <v>3255</v>
      </c>
    </row>
    <row r="25" spans="3:8" x14ac:dyDescent="0.25">
      <c r="C25" s="4">
        <v>0.22916666666666699</v>
      </c>
      <c r="D25">
        <v>3323</v>
      </c>
      <c r="G25">
        <v>3323</v>
      </c>
      <c r="H25">
        <f t="shared" si="0"/>
        <v>3303</v>
      </c>
    </row>
    <row r="26" spans="3:8" x14ac:dyDescent="0.25">
      <c r="C26" s="4">
        <v>0.23958333333333301</v>
      </c>
      <c r="D26">
        <v>3357</v>
      </c>
      <c r="G26">
        <v>3357</v>
      </c>
      <c r="H26">
        <f t="shared" si="0"/>
        <v>3337</v>
      </c>
    </row>
    <row r="27" spans="3:8" x14ac:dyDescent="0.25">
      <c r="C27" s="4">
        <v>0.25</v>
      </c>
      <c r="D27" s="17">
        <v>3352</v>
      </c>
      <c r="G27">
        <f>D27-30</f>
        <v>3322</v>
      </c>
      <c r="H27">
        <f t="shared" si="0"/>
        <v>3302</v>
      </c>
    </row>
    <row r="28" spans="3:8" x14ac:dyDescent="0.25">
      <c r="C28" s="4">
        <v>0.26041666666666702</v>
      </c>
      <c r="D28" s="17">
        <v>3326</v>
      </c>
      <c r="G28">
        <f t="shared" ref="G28:G55" si="1">D28-30</f>
        <v>3296</v>
      </c>
      <c r="H28">
        <f t="shared" si="0"/>
        <v>3276</v>
      </c>
    </row>
    <row r="29" spans="3:8" x14ac:dyDescent="0.25">
      <c r="C29" s="4">
        <v>0.27083333333333298</v>
      </c>
      <c r="D29" s="17">
        <v>3330</v>
      </c>
      <c r="G29">
        <f t="shared" si="1"/>
        <v>3300</v>
      </c>
      <c r="H29">
        <f t="shared" si="0"/>
        <v>3280</v>
      </c>
    </row>
    <row r="30" spans="3:8" x14ac:dyDescent="0.25">
      <c r="C30" s="4">
        <v>0.28125</v>
      </c>
      <c r="D30" s="17">
        <v>3359</v>
      </c>
      <c r="G30">
        <f t="shared" si="1"/>
        <v>3329</v>
      </c>
      <c r="H30">
        <f t="shared" si="0"/>
        <v>3309</v>
      </c>
    </row>
    <row r="31" spans="3:8" x14ac:dyDescent="0.25">
      <c r="C31" s="4">
        <v>0.29166666666666702</v>
      </c>
      <c r="D31" s="17">
        <v>3384</v>
      </c>
      <c r="G31">
        <f t="shared" si="1"/>
        <v>3354</v>
      </c>
      <c r="H31">
        <f t="shared" si="0"/>
        <v>3334</v>
      </c>
    </row>
    <row r="32" spans="3:8" x14ac:dyDescent="0.25">
      <c r="C32" s="4">
        <v>0.30208333333333298</v>
      </c>
      <c r="D32" s="17">
        <v>3429</v>
      </c>
      <c r="G32">
        <f t="shared" si="1"/>
        <v>3399</v>
      </c>
      <c r="H32">
        <f t="shared" si="0"/>
        <v>3379</v>
      </c>
    </row>
    <row r="33" spans="3:8" x14ac:dyDescent="0.25">
      <c r="C33" s="4">
        <v>0.3125</v>
      </c>
      <c r="D33" s="17">
        <v>3400</v>
      </c>
      <c r="G33">
        <f t="shared" si="1"/>
        <v>3370</v>
      </c>
      <c r="H33">
        <f t="shared" si="0"/>
        <v>3350</v>
      </c>
    </row>
    <row r="34" spans="3:8" x14ac:dyDescent="0.25">
      <c r="C34" s="4">
        <v>0.32291666666666702</v>
      </c>
      <c r="D34" s="17">
        <v>3293</v>
      </c>
      <c r="G34">
        <f t="shared" si="1"/>
        <v>3263</v>
      </c>
      <c r="H34">
        <f t="shared" si="0"/>
        <v>3243</v>
      </c>
    </row>
    <row r="35" spans="3:8" x14ac:dyDescent="0.25">
      <c r="C35" s="4">
        <v>0.33333333333333298</v>
      </c>
      <c r="D35" s="17">
        <v>3235</v>
      </c>
      <c r="G35">
        <f t="shared" si="1"/>
        <v>3205</v>
      </c>
      <c r="H35">
        <f t="shared" si="0"/>
        <v>3185</v>
      </c>
    </row>
    <row r="36" spans="3:8" x14ac:dyDescent="0.25">
      <c r="C36" s="4">
        <v>0.34375</v>
      </c>
      <c r="D36" s="17">
        <v>3142</v>
      </c>
      <c r="G36">
        <f t="shared" si="1"/>
        <v>3112</v>
      </c>
      <c r="H36">
        <f t="shared" si="0"/>
        <v>3092</v>
      </c>
    </row>
    <row r="37" spans="3:8" x14ac:dyDescent="0.25">
      <c r="C37" s="4">
        <v>0.35416666666666702</v>
      </c>
      <c r="D37" s="17">
        <v>3123</v>
      </c>
      <c r="G37">
        <f t="shared" si="1"/>
        <v>3093</v>
      </c>
      <c r="H37">
        <f t="shared" si="0"/>
        <v>3073</v>
      </c>
    </row>
    <row r="38" spans="3:8" x14ac:dyDescent="0.25">
      <c r="C38" s="4">
        <v>0.36458333333333298</v>
      </c>
      <c r="D38" s="17">
        <v>3092</v>
      </c>
      <c r="G38">
        <f t="shared" si="1"/>
        <v>3062</v>
      </c>
      <c r="H38">
        <f t="shared" si="0"/>
        <v>3042</v>
      </c>
    </row>
    <row r="39" spans="3:8" x14ac:dyDescent="0.25">
      <c r="C39" s="4">
        <v>0.375</v>
      </c>
      <c r="D39" s="17">
        <v>3043</v>
      </c>
      <c r="G39">
        <f t="shared" si="1"/>
        <v>3013</v>
      </c>
      <c r="H39">
        <f t="shared" si="0"/>
        <v>2993</v>
      </c>
    </row>
    <row r="40" spans="3:8" x14ac:dyDescent="0.25">
      <c r="C40" s="4">
        <v>0.38541666666666702</v>
      </c>
      <c r="D40" s="17">
        <v>2976</v>
      </c>
      <c r="G40">
        <f t="shared" si="1"/>
        <v>2946</v>
      </c>
      <c r="H40">
        <f t="shared" si="0"/>
        <v>2926</v>
      </c>
    </row>
    <row r="41" spans="3:8" x14ac:dyDescent="0.25">
      <c r="C41" s="4">
        <v>0.39583333333333298</v>
      </c>
      <c r="D41" s="17">
        <v>2917</v>
      </c>
      <c r="G41">
        <f t="shared" si="1"/>
        <v>2887</v>
      </c>
      <c r="H41">
        <f t="shared" si="0"/>
        <v>2867</v>
      </c>
    </row>
    <row r="42" spans="3:8" x14ac:dyDescent="0.25">
      <c r="C42" s="4">
        <v>0.40625</v>
      </c>
      <c r="D42" s="17">
        <v>2874</v>
      </c>
      <c r="G42">
        <f t="shared" si="1"/>
        <v>2844</v>
      </c>
      <c r="H42">
        <f t="shared" si="0"/>
        <v>2824</v>
      </c>
    </row>
    <row r="43" spans="3:8" x14ac:dyDescent="0.25">
      <c r="C43" s="4">
        <v>0.41666666666666702</v>
      </c>
      <c r="D43" s="17">
        <v>2808</v>
      </c>
      <c r="G43">
        <f t="shared" si="1"/>
        <v>2778</v>
      </c>
      <c r="H43">
        <f t="shared" si="0"/>
        <v>2758</v>
      </c>
    </row>
    <row r="44" spans="3:8" x14ac:dyDescent="0.25">
      <c r="C44" s="4">
        <v>0.42708333333333298</v>
      </c>
      <c r="D44" s="17">
        <v>2763</v>
      </c>
      <c r="G44">
        <f t="shared" si="1"/>
        <v>2733</v>
      </c>
      <c r="H44">
        <f t="shared" si="0"/>
        <v>2713</v>
      </c>
    </row>
    <row r="45" spans="3:8" x14ac:dyDescent="0.25">
      <c r="C45" s="4">
        <v>0.4375</v>
      </c>
      <c r="D45" s="17">
        <v>2750</v>
      </c>
      <c r="G45">
        <f t="shared" si="1"/>
        <v>2720</v>
      </c>
      <c r="H45">
        <f t="shared" si="0"/>
        <v>2700</v>
      </c>
    </row>
    <row r="46" spans="3:8" x14ac:dyDescent="0.25">
      <c r="C46" s="4">
        <v>0.44791666666666702</v>
      </c>
      <c r="D46" s="17">
        <v>2751</v>
      </c>
      <c r="G46">
        <f t="shared" si="1"/>
        <v>2721</v>
      </c>
      <c r="H46">
        <f t="shared" si="0"/>
        <v>2701</v>
      </c>
    </row>
    <row r="47" spans="3:8" x14ac:dyDescent="0.25">
      <c r="C47" s="4">
        <v>0.45833333333333298</v>
      </c>
      <c r="D47" s="17">
        <v>2743</v>
      </c>
      <c r="G47">
        <f t="shared" si="1"/>
        <v>2713</v>
      </c>
      <c r="H47">
        <f t="shared" si="0"/>
        <v>2693</v>
      </c>
    </row>
    <row r="48" spans="3:8" x14ac:dyDescent="0.25">
      <c r="C48" s="4">
        <v>0.46875</v>
      </c>
      <c r="D48" s="17">
        <v>2734</v>
      </c>
      <c r="G48">
        <f t="shared" si="1"/>
        <v>2704</v>
      </c>
      <c r="H48">
        <f t="shared" si="0"/>
        <v>2684</v>
      </c>
    </row>
    <row r="49" spans="3:8" x14ac:dyDescent="0.25">
      <c r="C49" s="4">
        <v>0.47916666666666702</v>
      </c>
      <c r="D49" s="17">
        <v>2701</v>
      </c>
      <c r="G49">
        <f t="shared" si="1"/>
        <v>2671</v>
      </c>
      <c r="H49">
        <f t="shared" si="0"/>
        <v>2651</v>
      </c>
    </row>
    <row r="50" spans="3:8" x14ac:dyDescent="0.25">
      <c r="C50" s="4">
        <v>0.48958333333333298</v>
      </c>
      <c r="D50" s="17">
        <v>2684</v>
      </c>
      <c r="G50">
        <f t="shared" si="1"/>
        <v>2654</v>
      </c>
      <c r="H50">
        <f t="shared" si="0"/>
        <v>2634</v>
      </c>
    </row>
    <row r="51" spans="3:8" x14ac:dyDescent="0.25">
      <c r="C51" s="4">
        <v>0.5</v>
      </c>
      <c r="D51" s="17">
        <v>2659</v>
      </c>
      <c r="G51">
        <f t="shared" si="1"/>
        <v>2629</v>
      </c>
      <c r="H51">
        <f t="shared" si="0"/>
        <v>2609</v>
      </c>
    </row>
    <row r="52" spans="3:8" x14ac:dyDescent="0.25">
      <c r="C52" s="4">
        <v>0.51041666666666696</v>
      </c>
      <c r="D52" s="17">
        <v>2636</v>
      </c>
      <c r="G52">
        <f t="shared" si="1"/>
        <v>2606</v>
      </c>
      <c r="H52">
        <f t="shared" si="0"/>
        <v>2586</v>
      </c>
    </row>
    <row r="53" spans="3:8" x14ac:dyDescent="0.25">
      <c r="C53" s="4">
        <v>0.52083333333333304</v>
      </c>
      <c r="D53" s="17">
        <v>2633</v>
      </c>
      <c r="G53">
        <f t="shared" si="1"/>
        <v>2603</v>
      </c>
      <c r="H53">
        <f t="shared" si="0"/>
        <v>2583</v>
      </c>
    </row>
    <row r="54" spans="3:8" x14ac:dyDescent="0.25">
      <c r="C54" s="4">
        <v>0.53125</v>
      </c>
      <c r="D54" s="17">
        <v>2664</v>
      </c>
      <c r="G54">
        <f t="shared" si="1"/>
        <v>2634</v>
      </c>
      <c r="H54">
        <f t="shared" si="0"/>
        <v>2614</v>
      </c>
    </row>
    <row r="55" spans="3:8" x14ac:dyDescent="0.25">
      <c r="C55" s="4">
        <v>0.54166666666666696</v>
      </c>
      <c r="D55" s="17">
        <v>2678</v>
      </c>
      <c r="G55">
        <f t="shared" si="1"/>
        <v>2648</v>
      </c>
      <c r="H55">
        <f t="shared" si="0"/>
        <v>2628</v>
      </c>
    </row>
    <row r="56" spans="3:8" x14ac:dyDescent="0.25">
      <c r="C56" s="4">
        <v>0.55208333333333304</v>
      </c>
      <c r="D56">
        <v>2692</v>
      </c>
      <c r="G56">
        <v>2692</v>
      </c>
      <c r="H56">
        <f t="shared" si="0"/>
        <v>2672</v>
      </c>
    </row>
    <row r="57" spans="3:8" x14ac:dyDescent="0.25">
      <c r="C57" s="4">
        <v>0.5625</v>
      </c>
      <c r="D57">
        <v>2696</v>
      </c>
      <c r="G57">
        <v>2696</v>
      </c>
      <c r="H57">
        <f t="shared" si="0"/>
        <v>2676</v>
      </c>
    </row>
    <row r="58" spans="3:8" x14ac:dyDescent="0.25">
      <c r="C58" s="4">
        <v>0.57291666666666696</v>
      </c>
      <c r="D58">
        <v>2730</v>
      </c>
      <c r="G58">
        <v>2730</v>
      </c>
      <c r="H58">
        <f t="shared" si="0"/>
        <v>2710</v>
      </c>
    </row>
    <row r="59" spans="3:8" x14ac:dyDescent="0.25">
      <c r="C59" s="4">
        <v>0.58333333333333304</v>
      </c>
      <c r="D59">
        <v>2729</v>
      </c>
      <c r="G59">
        <v>2729</v>
      </c>
      <c r="H59">
        <f t="shared" si="0"/>
        <v>2709</v>
      </c>
    </row>
    <row r="60" spans="3:8" x14ac:dyDescent="0.25">
      <c r="C60" s="4">
        <v>0.59375</v>
      </c>
      <c r="D60">
        <v>2726</v>
      </c>
      <c r="G60">
        <v>2726</v>
      </c>
      <c r="H60">
        <f t="shared" si="0"/>
        <v>2706</v>
      </c>
    </row>
    <row r="61" spans="3:8" x14ac:dyDescent="0.25">
      <c r="C61" s="4">
        <v>0.60416666666666696</v>
      </c>
      <c r="D61">
        <v>2764</v>
      </c>
      <c r="G61">
        <v>2764</v>
      </c>
      <c r="H61">
        <f t="shared" si="0"/>
        <v>2744</v>
      </c>
    </row>
    <row r="62" spans="3:8" x14ac:dyDescent="0.25">
      <c r="C62" s="4">
        <v>0.61458333333333304</v>
      </c>
      <c r="D62">
        <v>2787</v>
      </c>
      <c r="G62">
        <v>2787</v>
      </c>
      <c r="H62">
        <f t="shared" si="0"/>
        <v>2767</v>
      </c>
    </row>
    <row r="63" spans="3:8" x14ac:dyDescent="0.25">
      <c r="C63" s="4">
        <v>0.625</v>
      </c>
      <c r="D63">
        <v>2783</v>
      </c>
      <c r="G63">
        <v>2783</v>
      </c>
      <c r="H63">
        <f t="shared" si="0"/>
        <v>2763</v>
      </c>
    </row>
    <row r="64" spans="3:8" x14ac:dyDescent="0.25">
      <c r="C64" s="4">
        <v>0.63541666666666696</v>
      </c>
      <c r="D64">
        <v>2810</v>
      </c>
      <c r="G64">
        <v>2810</v>
      </c>
      <c r="H64">
        <f t="shared" si="0"/>
        <v>2790</v>
      </c>
    </row>
    <row r="65" spans="3:8" x14ac:dyDescent="0.25">
      <c r="C65" s="4">
        <v>0.64583333333333304</v>
      </c>
      <c r="D65">
        <v>2805</v>
      </c>
      <c r="G65">
        <v>2805</v>
      </c>
      <c r="H65">
        <f t="shared" si="0"/>
        <v>2785</v>
      </c>
    </row>
    <row r="66" spans="3:8" x14ac:dyDescent="0.25">
      <c r="C66" s="4">
        <v>0.65625</v>
      </c>
      <c r="D66">
        <v>2830</v>
      </c>
      <c r="G66">
        <v>2830</v>
      </c>
      <c r="H66">
        <f t="shared" si="0"/>
        <v>2810</v>
      </c>
    </row>
    <row r="67" spans="3:8" x14ac:dyDescent="0.25">
      <c r="C67" s="4">
        <v>0.66666666666666696</v>
      </c>
      <c r="D67">
        <v>2802</v>
      </c>
      <c r="G67">
        <v>2802</v>
      </c>
      <c r="H67">
        <f t="shared" si="0"/>
        <v>2782</v>
      </c>
    </row>
    <row r="68" spans="3:8" x14ac:dyDescent="0.25">
      <c r="C68" s="4">
        <v>0.67708333333333304</v>
      </c>
      <c r="D68">
        <v>2831</v>
      </c>
      <c r="G68">
        <v>2831</v>
      </c>
      <c r="H68">
        <f t="shared" ref="H68:H98" si="2">G68-20</f>
        <v>2811</v>
      </c>
    </row>
    <row r="69" spans="3:8" x14ac:dyDescent="0.25">
      <c r="C69" s="4">
        <v>0.6875</v>
      </c>
      <c r="D69">
        <v>2856</v>
      </c>
      <c r="G69">
        <v>2856</v>
      </c>
      <c r="H69">
        <f t="shared" si="2"/>
        <v>2836</v>
      </c>
    </row>
    <row r="70" spans="3:8" x14ac:dyDescent="0.25">
      <c r="C70" s="4">
        <v>0.69791666666666696</v>
      </c>
      <c r="D70">
        <v>2879</v>
      </c>
      <c r="G70">
        <v>2879</v>
      </c>
      <c r="H70">
        <f t="shared" si="2"/>
        <v>2859</v>
      </c>
    </row>
    <row r="71" spans="3:8" x14ac:dyDescent="0.25">
      <c r="C71" s="4">
        <v>0.70833333333333304</v>
      </c>
      <c r="D71">
        <v>2923</v>
      </c>
      <c r="G71">
        <v>2923</v>
      </c>
      <c r="H71">
        <f t="shared" si="2"/>
        <v>2903</v>
      </c>
    </row>
    <row r="72" spans="3:8" x14ac:dyDescent="0.25">
      <c r="C72" s="4">
        <v>0.71875</v>
      </c>
      <c r="D72">
        <v>2900</v>
      </c>
      <c r="G72">
        <v>2900</v>
      </c>
      <c r="H72">
        <f t="shared" si="2"/>
        <v>2880</v>
      </c>
    </row>
    <row r="73" spans="3:8" x14ac:dyDescent="0.25">
      <c r="C73" s="4">
        <v>0.72916666666666696</v>
      </c>
      <c r="D73">
        <v>2870</v>
      </c>
      <c r="G73">
        <v>2870</v>
      </c>
      <c r="H73">
        <f t="shared" si="2"/>
        <v>2850</v>
      </c>
    </row>
    <row r="74" spans="3:8" x14ac:dyDescent="0.25">
      <c r="C74" s="4">
        <v>0.73958333333333304</v>
      </c>
      <c r="D74">
        <v>2822</v>
      </c>
      <c r="G74">
        <v>2822</v>
      </c>
      <c r="H74">
        <f t="shared" si="2"/>
        <v>2802</v>
      </c>
    </row>
    <row r="75" spans="3:8" x14ac:dyDescent="0.25">
      <c r="C75" s="4">
        <v>0.75</v>
      </c>
      <c r="D75">
        <v>2744</v>
      </c>
      <c r="G75">
        <v>2744</v>
      </c>
      <c r="H75">
        <f t="shared" si="2"/>
        <v>2724</v>
      </c>
    </row>
    <row r="76" spans="3:8" x14ac:dyDescent="0.25">
      <c r="C76" s="4">
        <v>0.76041666666666663</v>
      </c>
      <c r="D76" s="17">
        <v>2671</v>
      </c>
      <c r="E76" s="25"/>
      <c r="F76">
        <f>D76-100</f>
        <v>2571</v>
      </c>
      <c r="G76">
        <v>2571</v>
      </c>
      <c r="H76">
        <f t="shared" si="2"/>
        <v>2551</v>
      </c>
    </row>
    <row r="77" spans="3:8" x14ac:dyDescent="0.25">
      <c r="C77" s="4">
        <v>0.77083333333333304</v>
      </c>
      <c r="D77" s="17">
        <v>2648</v>
      </c>
      <c r="F77">
        <f t="shared" ref="F77:F98" si="3">D77-100</f>
        <v>2548</v>
      </c>
      <c r="G77">
        <v>2548</v>
      </c>
      <c r="H77">
        <f t="shared" si="2"/>
        <v>2528</v>
      </c>
    </row>
    <row r="78" spans="3:8" x14ac:dyDescent="0.25">
      <c r="C78" s="4">
        <v>0.78125</v>
      </c>
      <c r="D78" s="17">
        <v>2641</v>
      </c>
      <c r="F78">
        <f t="shared" si="3"/>
        <v>2541</v>
      </c>
      <c r="G78">
        <v>2541</v>
      </c>
      <c r="H78">
        <f t="shared" si="2"/>
        <v>2521</v>
      </c>
    </row>
    <row r="79" spans="3:8" x14ac:dyDescent="0.25">
      <c r="C79" s="4">
        <v>0.79166666666666696</v>
      </c>
      <c r="D79" s="17">
        <v>2669</v>
      </c>
      <c r="F79">
        <f t="shared" si="3"/>
        <v>2569</v>
      </c>
      <c r="G79">
        <v>2569</v>
      </c>
      <c r="H79">
        <f t="shared" si="2"/>
        <v>2549</v>
      </c>
    </row>
    <row r="80" spans="3:8" x14ac:dyDescent="0.25">
      <c r="C80" s="4">
        <v>0.80208333333333304</v>
      </c>
      <c r="D80" s="17">
        <v>2772</v>
      </c>
      <c r="F80">
        <f t="shared" si="3"/>
        <v>2672</v>
      </c>
      <c r="G80">
        <v>2672</v>
      </c>
      <c r="H80">
        <f t="shared" si="2"/>
        <v>2652</v>
      </c>
    </row>
    <row r="81" spans="3:8" x14ac:dyDescent="0.25">
      <c r="C81" s="4">
        <v>0.8125</v>
      </c>
      <c r="D81" s="17">
        <v>2882</v>
      </c>
      <c r="F81">
        <f t="shared" si="3"/>
        <v>2782</v>
      </c>
      <c r="G81">
        <v>2782</v>
      </c>
      <c r="H81">
        <f t="shared" si="2"/>
        <v>2762</v>
      </c>
    </row>
    <row r="82" spans="3:8" x14ac:dyDescent="0.25">
      <c r="C82" s="4">
        <v>0.82291666666666696</v>
      </c>
      <c r="D82" s="17">
        <v>2968</v>
      </c>
      <c r="F82">
        <f t="shared" si="3"/>
        <v>2868</v>
      </c>
      <c r="G82">
        <v>2868</v>
      </c>
      <c r="H82">
        <f t="shared" si="2"/>
        <v>2848</v>
      </c>
    </row>
    <row r="83" spans="3:8" x14ac:dyDescent="0.25">
      <c r="C83" s="4">
        <v>0.83333333333333304</v>
      </c>
      <c r="D83" s="17">
        <v>2979</v>
      </c>
      <c r="F83">
        <f t="shared" si="3"/>
        <v>2879</v>
      </c>
      <c r="G83">
        <v>2879</v>
      </c>
      <c r="H83">
        <f t="shared" si="2"/>
        <v>2859</v>
      </c>
    </row>
    <row r="84" spans="3:8" x14ac:dyDescent="0.25">
      <c r="C84" s="4">
        <v>0.84375</v>
      </c>
      <c r="D84" s="17">
        <v>2990</v>
      </c>
      <c r="F84">
        <f t="shared" si="3"/>
        <v>2890</v>
      </c>
      <c r="G84">
        <v>2890</v>
      </c>
      <c r="H84">
        <f t="shared" si="2"/>
        <v>2870</v>
      </c>
    </row>
    <row r="85" spans="3:8" x14ac:dyDescent="0.25">
      <c r="C85" s="4">
        <v>0.85416666666666696</v>
      </c>
      <c r="D85" s="17">
        <v>2970</v>
      </c>
      <c r="F85">
        <f t="shared" si="3"/>
        <v>2870</v>
      </c>
      <c r="G85">
        <v>2870</v>
      </c>
      <c r="H85">
        <f t="shared" si="2"/>
        <v>2850</v>
      </c>
    </row>
    <row r="86" spans="3:8" x14ac:dyDescent="0.25">
      <c r="C86" s="4">
        <v>0.86458333333333304</v>
      </c>
      <c r="D86" s="17">
        <v>2977</v>
      </c>
      <c r="F86">
        <f t="shared" si="3"/>
        <v>2877</v>
      </c>
      <c r="G86">
        <v>2877</v>
      </c>
      <c r="H86">
        <f t="shared" si="2"/>
        <v>2857</v>
      </c>
    </row>
    <row r="87" spans="3:8" x14ac:dyDescent="0.25">
      <c r="C87" s="4">
        <v>0.875</v>
      </c>
      <c r="D87" s="17">
        <v>2960</v>
      </c>
      <c r="F87">
        <f t="shared" si="3"/>
        <v>2860</v>
      </c>
      <c r="G87">
        <v>2860</v>
      </c>
      <c r="H87">
        <f t="shared" si="2"/>
        <v>2840</v>
      </c>
    </row>
    <row r="88" spans="3:8" x14ac:dyDescent="0.25">
      <c r="C88" s="4">
        <v>0.88541666666666696</v>
      </c>
      <c r="D88" s="17">
        <v>2940</v>
      </c>
      <c r="F88">
        <f t="shared" si="3"/>
        <v>2840</v>
      </c>
      <c r="G88">
        <v>2840</v>
      </c>
      <c r="H88">
        <f t="shared" si="2"/>
        <v>2820</v>
      </c>
    </row>
    <row r="89" spans="3:8" x14ac:dyDescent="0.25">
      <c r="C89" s="4">
        <v>0.89583333333333304</v>
      </c>
      <c r="D89" s="17">
        <v>2948</v>
      </c>
      <c r="F89">
        <f t="shared" si="3"/>
        <v>2848</v>
      </c>
      <c r="G89">
        <v>2848</v>
      </c>
      <c r="H89">
        <f t="shared" si="2"/>
        <v>2828</v>
      </c>
    </row>
    <row r="90" spans="3:8" x14ac:dyDescent="0.25">
      <c r="C90" s="4">
        <v>0.90625</v>
      </c>
      <c r="D90" s="17">
        <v>2950</v>
      </c>
      <c r="F90">
        <f t="shared" si="3"/>
        <v>2850</v>
      </c>
      <c r="G90">
        <v>2850</v>
      </c>
      <c r="H90">
        <f t="shared" si="2"/>
        <v>2830</v>
      </c>
    </row>
    <row r="91" spans="3:8" x14ac:dyDescent="0.25">
      <c r="C91" s="4">
        <v>0.91666666666666696</v>
      </c>
      <c r="D91" s="17">
        <v>3030</v>
      </c>
      <c r="F91">
        <f t="shared" si="3"/>
        <v>2930</v>
      </c>
      <c r="G91">
        <v>2930</v>
      </c>
      <c r="H91">
        <f t="shared" si="2"/>
        <v>2910</v>
      </c>
    </row>
    <row r="92" spans="3:8" x14ac:dyDescent="0.25">
      <c r="C92" s="4">
        <v>0.92708333333333304</v>
      </c>
      <c r="D92" s="17">
        <v>3102</v>
      </c>
      <c r="F92">
        <f t="shared" si="3"/>
        <v>3002</v>
      </c>
      <c r="G92">
        <v>3002</v>
      </c>
      <c r="H92">
        <f t="shared" si="2"/>
        <v>2982</v>
      </c>
    </row>
    <row r="93" spans="3:8" x14ac:dyDescent="0.25">
      <c r="C93" s="4">
        <v>0.9375</v>
      </c>
      <c r="D93" s="17">
        <v>3214</v>
      </c>
      <c r="F93">
        <f t="shared" si="3"/>
        <v>3114</v>
      </c>
      <c r="G93">
        <v>3114</v>
      </c>
      <c r="H93">
        <f t="shared" si="2"/>
        <v>3094</v>
      </c>
    </row>
    <row r="94" spans="3:8" x14ac:dyDescent="0.25">
      <c r="C94" s="4">
        <v>0.94791666666666696</v>
      </c>
      <c r="D94" s="17">
        <v>3264</v>
      </c>
      <c r="F94">
        <f t="shared" si="3"/>
        <v>3164</v>
      </c>
      <c r="G94">
        <v>3164</v>
      </c>
      <c r="H94">
        <f t="shared" si="2"/>
        <v>3144</v>
      </c>
    </row>
    <row r="95" spans="3:8" x14ac:dyDescent="0.25">
      <c r="C95" s="4">
        <v>0.95833333333333304</v>
      </c>
      <c r="D95" s="17">
        <v>3298</v>
      </c>
      <c r="F95">
        <f t="shared" si="3"/>
        <v>3198</v>
      </c>
      <c r="G95">
        <v>3198</v>
      </c>
      <c r="H95">
        <f t="shared" si="2"/>
        <v>3178</v>
      </c>
    </row>
    <row r="96" spans="3:8" x14ac:dyDescent="0.25">
      <c r="C96" s="4">
        <v>0.96875</v>
      </c>
      <c r="D96" s="17">
        <v>3298</v>
      </c>
      <c r="F96">
        <f t="shared" si="3"/>
        <v>3198</v>
      </c>
      <c r="G96">
        <v>3198</v>
      </c>
      <c r="H96">
        <f t="shared" si="2"/>
        <v>3178</v>
      </c>
    </row>
    <row r="97" spans="2:8" x14ac:dyDescent="0.25">
      <c r="C97" s="4">
        <v>0.97916666666666696</v>
      </c>
      <c r="D97" s="17">
        <v>3317</v>
      </c>
      <c r="F97">
        <f t="shared" si="3"/>
        <v>3217</v>
      </c>
      <c r="G97">
        <v>3217</v>
      </c>
      <c r="H97">
        <f t="shared" si="2"/>
        <v>3197</v>
      </c>
    </row>
    <row r="98" spans="2:8" x14ac:dyDescent="0.25">
      <c r="C98" s="4">
        <v>0.98958333333333304</v>
      </c>
      <c r="D98" s="17">
        <v>3314</v>
      </c>
      <c r="F98">
        <f t="shared" si="3"/>
        <v>3214</v>
      </c>
      <c r="G98">
        <v>3214</v>
      </c>
      <c r="H98">
        <f t="shared" si="2"/>
        <v>3194</v>
      </c>
    </row>
    <row r="99" spans="2:8" ht="15.75" x14ac:dyDescent="0.25">
      <c r="B99" s="21" t="e">
        <f t="shared" ref="B99:H99" si="4">AVERAGE(B3:B98)*0.24</f>
        <v>#DIV/0!</v>
      </c>
      <c r="C99" s="21">
        <f t="shared" si="4"/>
        <v>0.11874999999999999</v>
      </c>
      <c r="D99" s="21">
        <f t="shared" si="4"/>
        <v>722.45249999999999</v>
      </c>
      <c r="E99" s="21" t="e">
        <f t="shared" si="4"/>
        <v>#DIV/0!</v>
      </c>
      <c r="F99" s="21">
        <f t="shared" si="4"/>
        <v>693.93391304347824</v>
      </c>
      <c r="G99" s="21">
        <f t="shared" si="4"/>
        <v>714.52749999999992</v>
      </c>
      <c r="H99" s="21">
        <f t="shared" si="4"/>
        <v>709.72749999999996</v>
      </c>
    </row>
  </sheetData>
  <conditionalFormatting sqref="C3:C98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4" workbookViewId="0">
      <selection activeCell="I35" sqref="I35"/>
    </sheetView>
  </sheetViews>
  <sheetFormatPr defaultRowHeight="15" x14ac:dyDescent="0.25"/>
  <sheetData>
    <row r="1" spans="1:6" x14ac:dyDescent="0.25">
      <c r="A1" s="3">
        <v>2545.35</v>
      </c>
      <c r="B1" s="3">
        <f t="shared" ref="B1:B32" si="0">A1-100</f>
        <v>2445.35</v>
      </c>
      <c r="C1" s="3">
        <v>2316.1999999999998</v>
      </c>
      <c r="D1" s="3">
        <v>2825.5</v>
      </c>
      <c r="E1" s="3">
        <f t="shared" ref="E1:E32" si="1">AVERAGE(A1:D1)</f>
        <v>2533.1</v>
      </c>
      <c r="F1" s="3">
        <f t="shared" ref="F1:F32" si="2">E1-120</f>
        <v>2413.1</v>
      </c>
    </row>
    <row r="2" spans="1:6" x14ac:dyDescent="0.25">
      <c r="A2" s="3">
        <v>2536.25</v>
      </c>
      <c r="B2" s="3">
        <f t="shared" si="0"/>
        <v>2436.25</v>
      </c>
      <c r="C2" s="3">
        <v>2271.98</v>
      </c>
      <c r="D2" s="3">
        <v>2793.29</v>
      </c>
      <c r="E2" s="3">
        <f t="shared" si="1"/>
        <v>2509.4425000000001</v>
      </c>
      <c r="F2" s="3">
        <f t="shared" si="2"/>
        <v>2389.4425000000001</v>
      </c>
    </row>
    <row r="3" spans="1:6" x14ac:dyDescent="0.25">
      <c r="A3" s="3">
        <v>2534.67</v>
      </c>
      <c r="B3" s="3">
        <f t="shared" si="0"/>
        <v>2434.67</v>
      </c>
      <c r="C3" s="3">
        <v>2271.09</v>
      </c>
      <c r="D3" s="3">
        <v>2817.8</v>
      </c>
      <c r="E3" s="3">
        <f t="shared" si="1"/>
        <v>2514.5574999999999</v>
      </c>
      <c r="F3" s="3">
        <f t="shared" si="2"/>
        <v>2394.5574999999999</v>
      </c>
    </row>
    <row r="4" spans="1:6" x14ac:dyDescent="0.25">
      <c r="A4" s="3">
        <v>2550.84</v>
      </c>
      <c r="B4" s="3">
        <f t="shared" si="0"/>
        <v>2450.84</v>
      </c>
      <c r="C4" s="3">
        <v>2265.19</v>
      </c>
      <c r="D4" s="3">
        <v>2802.16</v>
      </c>
      <c r="E4" s="3">
        <f t="shared" si="1"/>
        <v>2517.2575000000002</v>
      </c>
      <c r="F4" s="3">
        <f t="shared" si="2"/>
        <v>2397.2575000000002</v>
      </c>
    </row>
    <row r="5" spans="1:6" x14ac:dyDescent="0.25">
      <c r="A5" s="3">
        <v>2499.0500000000002</v>
      </c>
      <c r="B5" s="3">
        <f t="shared" si="0"/>
        <v>2399.0500000000002</v>
      </c>
      <c r="C5" s="3">
        <v>2284.27</v>
      </c>
      <c r="D5" s="3">
        <v>2784.27</v>
      </c>
      <c r="E5" s="3">
        <f t="shared" si="1"/>
        <v>2491.6600000000003</v>
      </c>
      <c r="F5" s="3">
        <f t="shared" si="2"/>
        <v>2371.6600000000003</v>
      </c>
    </row>
    <row r="6" spans="1:6" x14ac:dyDescent="0.25">
      <c r="A6" s="3">
        <v>2412.46</v>
      </c>
      <c r="B6" s="3">
        <f t="shared" si="0"/>
        <v>2312.46</v>
      </c>
      <c r="C6" s="3">
        <v>2277.0700000000002</v>
      </c>
      <c r="D6" s="3">
        <v>2764.9</v>
      </c>
      <c r="E6" s="3">
        <f t="shared" si="1"/>
        <v>2441.7224999999999</v>
      </c>
      <c r="F6" s="3">
        <f t="shared" si="2"/>
        <v>2321.7224999999999</v>
      </c>
    </row>
    <row r="7" spans="1:6" x14ac:dyDescent="0.25">
      <c r="A7" s="3">
        <v>2409.4899999999998</v>
      </c>
      <c r="B7" s="3">
        <f t="shared" si="0"/>
        <v>2309.4899999999998</v>
      </c>
      <c r="C7" s="3">
        <v>2275.38</v>
      </c>
      <c r="D7" s="3">
        <v>2755.93</v>
      </c>
      <c r="E7" s="3">
        <f t="shared" si="1"/>
        <v>2437.5724999999998</v>
      </c>
      <c r="F7" s="3">
        <f t="shared" si="2"/>
        <v>2317.5724999999998</v>
      </c>
    </row>
    <row r="8" spans="1:6" x14ac:dyDescent="0.25">
      <c r="A8" s="3">
        <v>2450.3200000000002</v>
      </c>
      <c r="B8" s="3">
        <f t="shared" si="0"/>
        <v>2350.3200000000002</v>
      </c>
      <c r="C8" s="3">
        <v>2293.41</v>
      </c>
      <c r="D8" s="3">
        <v>2735.14</v>
      </c>
      <c r="E8" s="3">
        <f t="shared" si="1"/>
        <v>2457.2975000000001</v>
      </c>
      <c r="F8" s="3">
        <f t="shared" si="2"/>
        <v>2337.2975000000001</v>
      </c>
    </row>
    <row r="9" spans="1:6" x14ac:dyDescent="0.25">
      <c r="A9" s="3">
        <v>2462.08</v>
      </c>
      <c r="B9" s="3">
        <f t="shared" si="0"/>
        <v>2362.08</v>
      </c>
      <c r="C9" s="3">
        <v>2275.31</v>
      </c>
      <c r="D9" s="3">
        <v>2722.14</v>
      </c>
      <c r="E9" s="3">
        <f t="shared" si="1"/>
        <v>2455.4024999999997</v>
      </c>
      <c r="F9" s="3">
        <f t="shared" si="2"/>
        <v>2335.4024999999997</v>
      </c>
    </row>
    <row r="10" spans="1:6" x14ac:dyDescent="0.25">
      <c r="A10" s="3">
        <v>2437.4299999999998</v>
      </c>
      <c r="B10" s="3">
        <f t="shared" si="0"/>
        <v>2337.4299999999998</v>
      </c>
      <c r="C10" s="3">
        <v>2253.42</v>
      </c>
      <c r="D10" s="3">
        <v>2706.18</v>
      </c>
      <c r="E10" s="3">
        <f t="shared" si="1"/>
        <v>2433.6149999999998</v>
      </c>
      <c r="F10" s="3">
        <f t="shared" si="2"/>
        <v>2313.6149999999998</v>
      </c>
    </row>
    <row r="11" spans="1:6" x14ac:dyDescent="0.25">
      <c r="A11" s="3">
        <v>2423.0300000000002</v>
      </c>
      <c r="B11" s="3">
        <f t="shared" si="0"/>
        <v>2323.0300000000002</v>
      </c>
      <c r="C11" s="3">
        <v>2223.23</v>
      </c>
      <c r="D11" s="3">
        <v>2671.41</v>
      </c>
      <c r="E11" s="3">
        <f t="shared" si="1"/>
        <v>2410.1750000000002</v>
      </c>
      <c r="F11" s="3">
        <f t="shared" si="2"/>
        <v>2290.1750000000002</v>
      </c>
    </row>
    <row r="12" spans="1:6" x14ac:dyDescent="0.25">
      <c r="A12" s="3">
        <v>2404.6799999999998</v>
      </c>
      <c r="B12" s="3">
        <f t="shared" si="0"/>
        <v>2304.6799999999998</v>
      </c>
      <c r="C12" s="3">
        <v>2192.8200000000002</v>
      </c>
      <c r="D12" s="3">
        <v>2659.3</v>
      </c>
      <c r="E12" s="3">
        <f t="shared" si="1"/>
        <v>2390.37</v>
      </c>
      <c r="F12" s="3">
        <f t="shared" si="2"/>
        <v>2270.37</v>
      </c>
    </row>
    <row r="13" spans="1:6" x14ac:dyDescent="0.25">
      <c r="A13" s="3">
        <v>2408.98</v>
      </c>
      <c r="B13" s="3">
        <f t="shared" si="0"/>
        <v>2308.98</v>
      </c>
      <c r="C13" s="3">
        <v>2173.88</v>
      </c>
      <c r="D13" s="3">
        <v>2688.96</v>
      </c>
      <c r="E13" s="3">
        <f t="shared" si="1"/>
        <v>2395.1999999999998</v>
      </c>
      <c r="F13" s="3">
        <f t="shared" si="2"/>
        <v>2275.1999999999998</v>
      </c>
    </row>
    <row r="14" spans="1:6" x14ac:dyDescent="0.25">
      <c r="A14" s="3">
        <v>2386.7800000000002</v>
      </c>
      <c r="B14" s="3">
        <f t="shared" si="0"/>
        <v>2286.7800000000002</v>
      </c>
      <c r="C14" s="3">
        <v>2155.7800000000002</v>
      </c>
      <c r="D14" s="3">
        <v>2677.8</v>
      </c>
      <c r="E14" s="3">
        <f t="shared" si="1"/>
        <v>2376.7849999999999</v>
      </c>
      <c r="F14" s="3">
        <f t="shared" si="2"/>
        <v>2256.7849999999999</v>
      </c>
    </row>
    <row r="15" spans="1:6" x14ac:dyDescent="0.25">
      <c r="A15" s="3">
        <v>2393.58</v>
      </c>
      <c r="B15" s="3">
        <f t="shared" si="0"/>
        <v>2293.58</v>
      </c>
      <c r="C15" s="3">
        <v>2147.34</v>
      </c>
      <c r="D15" s="3">
        <v>2675.35</v>
      </c>
      <c r="E15" s="3">
        <f t="shared" si="1"/>
        <v>2377.4625000000001</v>
      </c>
      <c r="F15" s="3">
        <f t="shared" si="2"/>
        <v>2257.4625000000001</v>
      </c>
    </row>
    <row r="16" spans="1:6" x14ac:dyDescent="0.25">
      <c r="A16" s="3">
        <v>2389.2800000000002</v>
      </c>
      <c r="B16" s="3">
        <f t="shared" si="0"/>
        <v>2289.2800000000002</v>
      </c>
      <c r="C16" s="3">
        <v>2101.1999999999998</v>
      </c>
      <c r="D16" s="3">
        <v>2665.71</v>
      </c>
      <c r="E16" s="3">
        <f t="shared" si="1"/>
        <v>2361.3675000000003</v>
      </c>
      <c r="F16" s="3">
        <f t="shared" si="2"/>
        <v>2241.3675000000003</v>
      </c>
    </row>
    <row r="17" spans="1:6" x14ac:dyDescent="0.25">
      <c r="A17" s="3">
        <v>2336.3200000000002</v>
      </c>
      <c r="B17" s="3">
        <f t="shared" si="0"/>
        <v>2236.3200000000002</v>
      </c>
      <c r="C17" s="3">
        <v>2096.73</v>
      </c>
      <c r="D17" s="3">
        <v>2660.88</v>
      </c>
      <c r="E17" s="3">
        <f t="shared" si="1"/>
        <v>2332.5625</v>
      </c>
      <c r="F17" s="3">
        <f t="shared" si="2"/>
        <v>2212.5625</v>
      </c>
    </row>
    <row r="18" spans="1:6" x14ac:dyDescent="0.25">
      <c r="A18" s="3">
        <v>2323.42</v>
      </c>
      <c r="B18" s="3">
        <f t="shared" si="0"/>
        <v>2223.42</v>
      </c>
      <c r="C18" s="3">
        <v>2090.0700000000002</v>
      </c>
      <c r="D18" s="3">
        <v>2650.96</v>
      </c>
      <c r="E18" s="3">
        <f t="shared" si="1"/>
        <v>2321.9674999999997</v>
      </c>
      <c r="F18" s="3">
        <f t="shared" si="2"/>
        <v>2201.9674999999997</v>
      </c>
    </row>
    <row r="19" spans="1:6" x14ac:dyDescent="0.25">
      <c r="A19" s="3">
        <v>2292.71</v>
      </c>
      <c r="B19" s="3">
        <f t="shared" si="0"/>
        <v>2192.71</v>
      </c>
      <c r="C19" s="3">
        <v>2090.65</v>
      </c>
      <c r="D19" s="3">
        <v>2664.81</v>
      </c>
      <c r="E19" s="3">
        <f t="shared" si="1"/>
        <v>2310.2199999999998</v>
      </c>
      <c r="F19" s="3">
        <f t="shared" si="2"/>
        <v>2190.2199999999998</v>
      </c>
    </row>
    <row r="20" spans="1:6" x14ac:dyDescent="0.25">
      <c r="A20" s="3">
        <v>2290.02</v>
      </c>
      <c r="B20" s="3">
        <f t="shared" si="0"/>
        <v>2190.02</v>
      </c>
      <c r="C20" s="8">
        <v>2064.54</v>
      </c>
      <c r="D20" s="3">
        <v>2651.29</v>
      </c>
      <c r="E20" s="3">
        <f t="shared" si="1"/>
        <v>2298.9674999999997</v>
      </c>
      <c r="F20" s="3">
        <f t="shared" si="2"/>
        <v>2178.9674999999997</v>
      </c>
    </row>
    <row r="21" spans="1:6" x14ac:dyDescent="0.25">
      <c r="A21" s="3">
        <v>2312.35</v>
      </c>
      <c r="B21" s="3">
        <f t="shared" si="0"/>
        <v>2212.35</v>
      </c>
      <c r="C21" s="3">
        <v>2060</v>
      </c>
      <c r="D21" s="3">
        <v>2653</v>
      </c>
      <c r="E21" s="3">
        <f t="shared" si="1"/>
        <v>2309.4250000000002</v>
      </c>
      <c r="F21" s="3">
        <f t="shared" si="2"/>
        <v>2189.4250000000002</v>
      </c>
    </row>
    <row r="22" spans="1:6" x14ac:dyDescent="0.25">
      <c r="A22" s="3">
        <v>2315.63</v>
      </c>
      <c r="B22" s="3">
        <f t="shared" si="0"/>
        <v>2215.63</v>
      </c>
      <c r="C22" s="3">
        <v>2067.61</v>
      </c>
      <c r="D22" s="3">
        <v>2673</v>
      </c>
      <c r="E22" s="3">
        <f t="shared" si="1"/>
        <v>2317.9675000000002</v>
      </c>
      <c r="F22" s="3">
        <f t="shared" si="2"/>
        <v>2197.9675000000002</v>
      </c>
    </row>
    <row r="23" spans="1:6" x14ac:dyDescent="0.25">
      <c r="A23" s="3">
        <v>2334.8200000000002</v>
      </c>
      <c r="B23" s="3">
        <f t="shared" si="0"/>
        <v>2234.8200000000002</v>
      </c>
      <c r="C23" s="3">
        <v>2080.34</v>
      </c>
      <c r="D23" s="3">
        <v>2701</v>
      </c>
      <c r="E23" s="3">
        <f t="shared" si="1"/>
        <v>2337.7449999999999</v>
      </c>
      <c r="F23" s="3">
        <f t="shared" si="2"/>
        <v>2217.7449999999999</v>
      </c>
    </row>
    <row r="24" spans="1:6" x14ac:dyDescent="0.25">
      <c r="A24" s="3">
        <v>2348.66</v>
      </c>
      <c r="B24" s="3">
        <f t="shared" si="0"/>
        <v>2248.66</v>
      </c>
      <c r="C24" s="3">
        <v>2111.34</v>
      </c>
      <c r="D24" s="3">
        <v>2734</v>
      </c>
      <c r="E24" s="3">
        <f t="shared" si="1"/>
        <v>2360.665</v>
      </c>
      <c r="F24" s="3">
        <f t="shared" si="2"/>
        <v>2240.665</v>
      </c>
    </row>
    <row r="25" spans="1:6" x14ac:dyDescent="0.25">
      <c r="A25" s="3">
        <v>2363.25</v>
      </c>
      <c r="B25" s="3">
        <f t="shared" si="0"/>
        <v>2263.25</v>
      </c>
      <c r="C25" s="3">
        <v>2148.92</v>
      </c>
      <c r="D25" s="3">
        <v>2784</v>
      </c>
      <c r="E25" s="3">
        <f t="shared" si="1"/>
        <v>2389.855</v>
      </c>
      <c r="F25" s="3">
        <f t="shared" si="2"/>
        <v>2269.855</v>
      </c>
    </row>
    <row r="26" spans="1:6" x14ac:dyDescent="0.25">
      <c r="A26" s="3">
        <v>2407.84</v>
      </c>
      <c r="B26" s="3">
        <f t="shared" si="0"/>
        <v>2307.84</v>
      </c>
      <c r="C26" s="3">
        <v>2161.73</v>
      </c>
      <c r="D26" s="3">
        <v>2805.75</v>
      </c>
      <c r="E26" s="3">
        <f t="shared" si="1"/>
        <v>2420.79</v>
      </c>
      <c r="F26" s="3">
        <f t="shared" si="2"/>
        <v>2300.79</v>
      </c>
    </row>
    <row r="27" spans="1:6" x14ac:dyDescent="0.25">
      <c r="A27" s="3">
        <v>2439.44</v>
      </c>
      <c r="B27" s="3">
        <f t="shared" si="0"/>
        <v>2339.44</v>
      </c>
      <c r="C27" s="3">
        <v>2184.46</v>
      </c>
      <c r="D27" s="3">
        <v>2810.18</v>
      </c>
      <c r="E27" s="3">
        <f t="shared" si="1"/>
        <v>2443.38</v>
      </c>
      <c r="F27" s="3">
        <f t="shared" si="2"/>
        <v>2323.38</v>
      </c>
    </row>
    <row r="28" spans="1:6" x14ac:dyDescent="0.25">
      <c r="A28" s="3">
        <v>2446.88</v>
      </c>
      <c r="B28" s="3">
        <f t="shared" si="0"/>
        <v>2346.88</v>
      </c>
      <c r="C28" s="3">
        <v>2178.4299999999998</v>
      </c>
      <c r="D28" s="3">
        <v>2793.71</v>
      </c>
      <c r="E28" s="3">
        <f t="shared" si="1"/>
        <v>2441.4750000000004</v>
      </c>
      <c r="F28" s="3">
        <f t="shared" si="2"/>
        <v>2321.4750000000004</v>
      </c>
    </row>
    <row r="29" spans="1:6" x14ac:dyDescent="0.25">
      <c r="A29" s="3">
        <v>2459.4</v>
      </c>
      <c r="B29" s="3">
        <f t="shared" si="0"/>
        <v>2359.4</v>
      </c>
      <c r="C29" s="3">
        <v>2186.08</v>
      </c>
      <c r="D29" s="3">
        <v>2831.06</v>
      </c>
      <c r="E29" s="3">
        <f t="shared" si="1"/>
        <v>2458.9850000000001</v>
      </c>
      <c r="F29" s="3">
        <f t="shared" si="2"/>
        <v>2338.9850000000001</v>
      </c>
    </row>
    <row r="30" spans="1:6" x14ac:dyDescent="0.25">
      <c r="A30" s="3">
        <v>2468.11</v>
      </c>
      <c r="B30" s="3">
        <f t="shared" si="0"/>
        <v>2368.11</v>
      </c>
      <c r="C30" s="3">
        <v>2190.67</v>
      </c>
      <c r="D30" s="3">
        <v>2843</v>
      </c>
      <c r="E30" s="3">
        <f t="shared" si="1"/>
        <v>2467.4724999999999</v>
      </c>
      <c r="F30" s="3">
        <f t="shared" si="2"/>
        <v>2347.4724999999999</v>
      </c>
    </row>
    <row r="31" spans="1:6" x14ac:dyDescent="0.25">
      <c r="A31" s="3">
        <v>2485.83</v>
      </c>
      <c r="B31" s="3">
        <f t="shared" si="0"/>
        <v>2385.83</v>
      </c>
      <c r="C31" s="3">
        <v>2223.67</v>
      </c>
      <c r="D31" s="3">
        <v>2847.2</v>
      </c>
      <c r="E31" s="3">
        <f t="shared" si="1"/>
        <v>2485.6324999999997</v>
      </c>
      <c r="F31" s="3">
        <f t="shared" si="2"/>
        <v>2365.6324999999997</v>
      </c>
    </row>
    <row r="32" spans="1:6" x14ac:dyDescent="0.25">
      <c r="A32" s="3">
        <v>2462.54</v>
      </c>
      <c r="B32" s="3">
        <f t="shared" si="0"/>
        <v>2362.54</v>
      </c>
      <c r="C32" s="3">
        <v>2198.13</v>
      </c>
      <c r="D32" s="3">
        <v>2852.28</v>
      </c>
      <c r="E32" s="3">
        <f t="shared" si="1"/>
        <v>2468.8724999999999</v>
      </c>
      <c r="F32" s="3">
        <f t="shared" si="2"/>
        <v>2348.8724999999999</v>
      </c>
    </row>
    <row r="33" spans="1:6" x14ac:dyDescent="0.25">
      <c r="A33" s="3">
        <v>2446.54</v>
      </c>
      <c r="B33" s="3">
        <f t="shared" ref="B33:B64" si="3">A33-100</f>
        <v>2346.54</v>
      </c>
      <c r="C33" s="9">
        <v>2195</v>
      </c>
      <c r="D33" s="3">
        <v>2805.34</v>
      </c>
      <c r="E33" s="3">
        <f t="shared" ref="E33:E64" si="4">AVERAGE(A33:D33)</f>
        <v>2448.355</v>
      </c>
      <c r="F33" s="3">
        <f t="shared" ref="F33:F64" si="5">E33-120</f>
        <v>2328.355</v>
      </c>
    </row>
    <row r="34" spans="1:6" x14ac:dyDescent="0.25">
      <c r="A34" s="3">
        <v>2399.15</v>
      </c>
      <c r="B34" s="3">
        <f t="shared" si="3"/>
        <v>2299.15</v>
      </c>
      <c r="C34" s="3"/>
      <c r="D34" s="3">
        <v>2771.31</v>
      </c>
      <c r="E34" s="3">
        <f t="shared" si="4"/>
        <v>2489.8700000000003</v>
      </c>
      <c r="F34" s="3">
        <f t="shared" si="5"/>
        <v>2369.8700000000003</v>
      </c>
    </row>
    <row r="35" spans="1:6" x14ac:dyDescent="0.25">
      <c r="A35" s="3">
        <v>2387.77</v>
      </c>
      <c r="B35" s="3">
        <f t="shared" si="3"/>
        <v>2287.77</v>
      </c>
      <c r="C35" s="3"/>
      <c r="D35" s="3">
        <v>2793.95</v>
      </c>
      <c r="E35" s="3">
        <f t="shared" si="4"/>
        <v>2489.83</v>
      </c>
      <c r="F35" s="3">
        <f t="shared" si="5"/>
        <v>2369.83</v>
      </c>
    </row>
    <row r="36" spans="1:6" x14ac:dyDescent="0.25">
      <c r="A36" s="3">
        <v>2374.13</v>
      </c>
      <c r="B36" s="3">
        <f t="shared" si="3"/>
        <v>2274.13</v>
      </c>
      <c r="C36" s="3"/>
      <c r="D36" s="3">
        <v>2785.39</v>
      </c>
      <c r="E36" s="3">
        <f t="shared" si="4"/>
        <v>2477.8833333333332</v>
      </c>
      <c r="F36" s="3">
        <f t="shared" si="5"/>
        <v>2357.8833333333332</v>
      </c>
    </row>
    <row r="37" spans="1:6" x14ac:dyDescent="0.25">
      <c r="A37" s="3">
        <v>2361.6999999999998</v>
      </c>
      <c r="B37" s="3">
        <f t="shared" si="3"/>
        <v>2261.6999999999998</v>
      </c>
      <c r="C37" s="3"/>
      <c r="D37" s="3">
        <v>2722.11</v>
      </c>
      <c r="E37" s="3">
        <f t="shared" si="4"/>
        <v>2448.5033333333336</v>
      </c>
      <c r="F37" s="3">
        <f t="shared" si="5"/>
        <v>2328.5033333333336</v>
      </c>
    </row>
    <row r="38" spans="1:6" x14ac:dyDescent="0.25">
      <c r="A38" s="3">
        <v>2340.0700000000002</v>
      </c>
      <c r="B38" s="3">
        <f t="shared" si="3"/>
        <v>2240.0700000000002</v>
      </c>
      <c r="C38" s="3"/>
      <c r="D38" s="3">
        <v>2664.6</v>
      </c>
      <c r="E38" s="3">
        <f t="shared" si="4"/>
        <v>2414.9133333333334</v>
      </c>
      <c r="F38" s="3">
        <f t="shared" si="5"/>
        <v>2294.9133333333334</v>
      </c>
    </row>
    <row r="39" spans="1:6" x14ac:dyDescent="0.25">
      <c r="A39" s="3">
        <v>2312.3200000000002</v>
      </c>
      <c r="B39" s="3">
        <f t="shared" si="3"/>
        <v>2212.3200000000002</v>
      </c>
      <c r="C39" s="3"/>
      <c r="D39" s="3">
        <v>2649.67</v>
      </c>
      <c r="E39" s="3">
        <f t="shared" si="4"/>
        <v>2391.436666666667</v>
      </c>
      <c r="F39" s="3">
        <f t="shared" si="5"/>
        <v>2271.436666666667</v>
      </c>
    </row>
    <row r="40" spans="1:6" x14ac:dyDescent="0.25">
      <c r="A40" s="3">
        <v>2263.48</v>
      </c>
      <c r="B40" s="3">
        <f t="shared" si="3"/>
        <v>2163.48</v>
      </c>
      <c r="C40" s="3"/>
      <c r="D40" s="3">
        <v>2618.91</v>
      </c>
      <c r="E40" s="3">
        <f t="shared" si="4"/>
        <v>2348.6233333333334</v>
      </c>
      <c r="F40" s="3">
        <f t="shared" si="5"/>
        <v>2228.6233333333334</v>
      </c>
    </row>
    <row r="41" spans="1:6" x14ac:dyDescent="0.25">
      <c r="A41" s="3">
        <v>2196.3000000000002</v>
      </c>
      <c r="B41" s="3">
        <f t="shared" si="3"/>
        <v>2096.3000000000002</v>
      </c>
      <c r="C41" s="8"/>
      <c r="D41" s="3">
        <v>2610.1799999999998</v>
      </c>
      <c r="E41" s="3">
        <f t="shared" si="4"/>
        <v>2300.9266666666667</v>
      </c>
      <c r="F41" s="3">
        <f t="shared" si="5"/>
        <v>2180.9266666666667</v>
      </c>
    </row>
    <row r="42" spans="1:6" x14ac:dyDescent="0.25">
      <c r="A42" s="3">
        <v>2157.52</v>
      </c>
      <c r="B42" s="3">
        <f t="shared" si="3"/>
        <v>2057.52</v>
      </c>
      <c r="C42" s="3"/>
      <c r="D42" s="3">
        <v>2573.64</v>
      </c>
      <c r="E42" s="3">
        <f t="shared" si="4"/>
        <v>2262.8933333333334</v>
      </c>
      <c r="F42" s="3">
        <f t="shared" si="5"/>
        <v>2142.8933333333334</v>
      </c>
    </row>
    <row r="43" spans="1:6" x14ac:dyDescent="0.25">
      <c r="A43" s="3">
        <v>2129.23</v>
      </c>
      <c r="B43" s="3">
        <f t="shared" si="3"/>
        <v>2029.23</v>
      </c>
      <c r="C43" s="3"/>
      <c r="D43" s="3">
        <v>2567.4499999999998</v>
      </c>
      <c r="E43" s="3">
        <f t="shared" si="4"/>
        <v>2241.9699999999998</v>
      </c>
      <c r="F43" s="3">
        <f t="shared" si="5"/>
        <v>2121.9699999999998</v>
      </c>
    </row>
    <row r="44" spans="1:6" x14ac:dyDescent="0.25">
      <c r="A44" s="3">
        <v>2112</v>
      </c>
      <c r="B44" s="3">
        <f t="shared" si="3"/>
        <v>2012</v>
      </c>
      <c r="C44" s="3"/>
      <c r="D44" s="3">
        <v>2537.4699999999998</v>
      </c>
      <c r="E44" s="3">
        <f t="shared" si="4"/>
        <v>2220.4899999999998</v>
      </c>
      <c r="F44" s="3">
        <f t="shared" si="5"/>
        <v>2100.4899999999998</v>
      </c>
    </row>
    <row r="45" spans="1:6" x14ac:dyDescent="0.25">
      <c r="A45" s="3">
        <v>2082.9499999999998</v>
      </c>
      <c r="B45" s="3">
        <f t="shared" si="3"/>
        <v>1982.9499999999998</v>
      </c>
      <c r="C45" s="3"/>
      <c r="D45" s="3">
        <v>2507.15</v>
      </c>
      <c r="E45" s="3">
        <f t="shared" si="4"/>
        <v>2191.0166666666664</v>
      </c>
      <c r="F45" s="3">
        <f t="shared" si="5"/>
        <v>2071.0166666666664</v>
      </c>
    </row>
    <row r="46" spans="1:6" x14ac:dyDescent="0.25">
      <c r="A46" s="3">
        <v>2095.66</v>
      </c>
      <c r="B46" s="3">
        <f t="shared" si="3"/>
        <v>1995.6599999999999</v>
      </c>
      <c r="C46" s="3"/>
      <c r="D46" s="3">
        <v>2481.7199999999998</v>
      </c>
      <c r="E46" s="3">
        <f t="shared" si="4"/>
        <v>2191.0133333333329</v>
      </c>
      <c r="F46" s="3">
        <f t="shared" si="5"/>
        <v>2071.0133333333329</v>
      </c>
    </row>
    <row r="47" spans="1:6" x14ac:dyDescent="0.25">
      <c r="A47" s="3">
        <v>2081.98</v>
      </c>
      <c r="B47" s="3">
        <f t="shared" si="3"/>
        <v>1981.98</v>
      </c>
      <c r="C47" s="3"/>
      <c r="D47" s="3">
        <v>2473.34</v>
      </c>
      <c r="E47" s="3">
        <f t="shared" si="4"/>
        <v>2179.1</v>
      </c>
      <c r="F47" s="3">
        <f t="shared" si="5"/>
        <v>2059.1</v>
      </c>
    </row>
    <row r="48" spans="1:6" x14ac:dyDescent="0.25">
      <c r="A48" s="3">
        <v>2084.6</v>
      </c>
      <c r="B48" s="3">
        <f t="shared" si="3"/>
        <v>1984.6</v>
      </c>
      <c r="C48" s="3"/>
      <c r="D48" s="3">
        <v>2435.17</v>
      </c>
      <c r="E48" s="3">
        <f t="shared" si="4"/>
        <v>2168.1233333333334</v>
      </c>
      <c r="F48" s="3">
        <f t="shared" si="5"/>
        <v>2048.1233333333334</v>
      </c>
    </row>
    <row r="49" spans="1:6" x14ac:dyDescent="0.25">
      <c r="A49" s="3">
        <v>2072.34</v>
      </c>
      <c r="B49" s="3">
        <f t="shared" si="3"/>
        <v>1972.3400000000001</v>
      </c>
      <c r="C49" s="3"/>
      <c r="D49" s="3">
        <v>2443.8200000000002</v>
      </c>
      <c r="E49" s="3">
        <f t="shared" si="4"/>
        <v>2162.8333333333335</v>
      </c>
      <c r="F49" s="3">
        <f t="shared" si="5"/>
        <v>2042.8333333333335</v>
      </c>
    </row>
    <row r="50" spans="1:6" x14ac:dyDescent="0.25">
      <c r="A50" s="3">
        <v>2078.89</v>
      </c>
      <c r="B50" s="3">
        <f t="shared" si="3"/>
        <v>1978.8899999999999</v>
      </c>
      <c r="C50" s="3"/>
      <c r="D50" s="3">
        <v>2421.84</v>
      </c>
      <c r="E50" s="3">
        <f t="shared" si="4"/>
        <v>2159.8733333333334</v>
      </c>
      <c r="F50" s="3">
        <f t="shared" si="5"/>
        <v>2039.8733333333334</v>
      </c>
    </row>
    <row r="51" spans="1:6" x14ac:dyDescent="0.25">
      <c r="A51" s="3">
        <v>2050.6799999999998</v>
      </c>
      <c r="B51" s="3">
        <f t="shared" si="3"/>
        <v>1950.6799999999998</v>
      </c>
      <c r="C51" s="3"/>
      <c r="D51" s="3">
        <v>2356.09</v>
      </c>
      <c r="E51" s="3">
        <f t="shared" si="4"/>
        <v>2119.15</v>
      </c>
      <c r="F51" s="3">
        <f t="shared" si="5"/>
        <v>1999.15</v>
      </c>
    </row>
    <row r="52" spans="1:6" x14ac:dyDescent="0.25">
      <c r="A52" s="3">
        <v>2046.28</v>
      </c>
      <c r="B52" s="3">
        <f t="shared" si="3"/>
        <v>1946.28</v>
      </c>
      <c r="C52" s="3"/>
      <c r="D52" s="3">
        <v>2357</v>
      </c>
      <c r="E52" s="3">
        <f t="shared" si="4"/>
        <v>2116.52</v>
      </c>
      <c r="F52" s="3">
        <f t="shared" si="5"/>
        <v>1996.52</v>
      </c>
    </row>
    <row r="53" spans="1:6" x14ac:dyDescent="0.25">
      <c r="A53" s="3">
        <v>2120.5</v>
      </c>
      <c r="B53" s="3">
        <f t="shared" si="3"/>
        <v>2020.5</v>
      </c>
      <c r="C53" s="3"/>
      <c r="D53" s="3">
        <v>2382</v>
      </c>
      <c r="E53" s="3">
        <f t="shared" si="4"/>
        <v>2174.3333333333335</v>
      </c>
      <c r="F53" s="3">
        <f t="shared" si="5"/>
        <v>2054.3333333333335</v>
      </c>
    </row>
    <row r="54" spans="1:6" x14ac:dyDescent="0.25">
      <c r="A54" s="3">
        <v>2151.4499999999998</v>
      </c>
      <c r="B54" s="3">
        <f t="shared" si="3"/>
        <v>2051.4499999999998</v>
      </c>
      <c r="C54" s="3"/>
      <c r="D54" s="3">
        <v>2424</v>
      </c>
      <c r="E54" s="3">
        <f t="shared" si="4"/>
        <v>2208.9666666666667</v>
      </c>
      <c r="F54" s="3">
        <f t="shared" si="5"/>
        <v>2088.9666666666667</v>
      </c>
    </row>
    <row r="55" spans="1:6" x14ac:dyDescent="0.25">
      <c r="A55" s="3">
        <v>2150.59</v>
      </c>
      <c r="B55" s="3">
        <f t="shared" si="3"/>
        <v>2050.59</v>
      </c>
      <c r="C55" s="3"/>
      <c r="D55" s="3">
        <v>2422</v>
      </c>
      <c r="E55" s="3">
        <f t="shared" si="4"/>
        <v>2207.7266666666669</v>
      </c>
      <c r="F55" s="3">
        <f t="shared" si="5"/>
        <v>2087.7266666666669</v>
      </c>
    </row>
    <row r="56" spans="1:6" x14ac:dyDescent="0.25">
      <c r="A56" s="3">
        <v>2174.61</v>
      </c>
      <c r="B56" s="3">
        <f t="shared" si="3"/>
        <v>2074.61</v>
      </c>
      <c r="C56" s="3"/>
      <c r="D56" s="3">
        <v>2383</v>
      </c>
      <c r="E56" s="3">
        <f t="shared" si="4"/>
        <v>2210.7400000000002</v>
      </c>
      <c r="F56" s="3">
        <f t="shared" si="5"/>
        <v>2090.7400000000002</v>
      </c>
    </row>
    <row r="57" spans="1:6" x14ac:dyDescent="0.25">
      <c r="A57" s="3">
        <v>2188.3200000000002</v>
      </c>
      <c r="B57" s="3">
        <f t="shared" si="3"/>
        <v>2088.3200000000002</v>
      </c>
      <c r="C57" s="3"/>
      <c r="D57" s="3">
        <v>2392</v>
      </c>
      <c r="E57" s="3">
        <f t="shared" si="4"/>
        <v>2222.88</v>
      </c>
      <c r="F57" s="3">
        <f t="shared" si="5"/>
        <v>2102.88</v>
      </c>
    </row>
    <row r="58" spans="1:6" x14ac:dyDescent="0.25">
      <c r="A58" s="3">
        <v>2211.4699999999998</v>
      </c>
      <c r="B58" s="3">
        <f t="shared" si="3"/>
        <v>2111.4699999999998</v>
      </c>
      <c r="C58" s="3"/>
      <c r="D58" s="3">
        <v>2412</v>
      </c>
      <c r="E58" s="3">
        <f t="shared" si="4"/>
        <v>2244.98</v>
      </c>
      <c r="F58" s="3">
        <f t="shared" si="5"/>
        <v>2124.98</v>
      </c>
    </row>
    <row r="59" spans="1:6" x14ac:dyDescent="0.25">
      <c r="A59" s="3">
        <v>2183.39</v>
      </c>
      <c r="B59" s="3">
        <f t="shared" si="3"/>
        <v>2083.39</v>
      </c>
      <c r="C59" s="3"/>
      <c r="D59" s="3">
        <v>2409</v>
      </c>
      <c r="E59" s="3">
        <f t="shared" si="4"/>
        <v>2225.2599999999998</v>
      </c>
      <c r="F59" s="3">
        <f t="shared" si="5"/>
        <v>2105.2599999999998</v>
      </c>
    </row>
    <row r="60" spans="1:6" x14ac:dyDescent="0.25">
      <c r="A60" s="3">
        <v>2181.08</v>
      </c>
      <c r="B60" s="3">
        <f t="shared" si="3"/>
        <v>2081.08</v>
      </c>
      <c r="C60" s="3"/>
      <c r="D60" s="3">
        <v>2376</v>
      </c>
      <c r="E60" s="3">
        <f t="shared" si="4"/>
        <v>2212.7199999999998</v>
      </c>
      <c r="F60" s="3">
        <f t="shared" si="5"/>
        <v>2092.7199999999998</v>
      </c>
    </row>
    <row r="61" spans="1:6" x14ac:dyDescent="0.25">
      <c r="A61" s="3">
        <v>2187.21</v>
      </c>
      <c r="B61" s="3">
        <f t="shared" si="3"/>
        <v>2087.21</v>
      </c>
      <c r="C61" s="3"/>
      <c r="D61" s="3">
        <v>2362</v>
      </c>
      <c r="E61" s="3">
        <f t="shared" si="4"/>
        <v>2212.14</v>
      </c>
      <c r="F61" s="3">
        <f t="shared" si="5"/>
        <v>2092.14</v>
      </c>
    </row>
    <row r="62" spans="1:6" x14ac:dyDescent="0.25">
      <c r="A62" s="3">
        <v>2162.1</v>
      </c>
      <c r="B62" s="3">
        <f t="shared" si="3"/>
        <v>2062.1</v>
      </c>
      <c r="C62" s="3"/>
      <c r="D62" s="3">
        <v>2307</v>
      </c>
      <c r="E62" s="3">
        <f t="shared" si="4"/>
        <v>2177.0666666666666</v>
      </c>
      <c r="F62" s="3">
        <f t="shared" si="5"/>
        <v>2057.0666666666666</v>
      </c>
    </row>
    <row r="63" spans="1:6" x14ac:dyDescent="0.25">
      <c r="A63" s="3">
        <v>2150.71</v>
      </c>
      <c r="B63" s="3">
        <f t="shared" si="3"/>
        <v>2050.71</v>
      </c>
      <c r="C63" s="3"/>
      <c r="D63" s="3">
        <v>2287</v>
      </c>
      <c r="E63" s="3">
        <f t="shared" si="4"/>
        <v>2162.8066666666668</v>
      </c>
      <c r="F63" s="3">
        <f t="shared" si="5"/>
        <v>2042.8066666666668</v>
      </c>
    </row>
    <row r="64" spans="1:6" x14ac:dyDescent="0.25">
      <c r="A64" s="3">
        <v>2130.48</v>
      </c>
      <c r="B64" s="3">
        <f t="shared" si="3"/>
        <v>2030.48</v>
      </c>
      <c r="C64" s="3"/>
      <c r="D64" s="3">
        <v>2346</v>
      </c>
      <c r="E64" s="3">
        <f t="shared" si="4"/>
        <v>2168.9866666666667</v>
      </c>
      <c r="F64" s="3">
        <f t="shared" si="5"/>
        <v>2048.9866666666667</v>
      </c>
    </row>
    <row r="65" spans="1:6" x14ac:dyDescent="0.25">
      <c r="A65" s="3">
        <v>2123.86</v>
      </c>
      <c r="B65" s="3">
        <f t="shared" ref="B65:B96" si="6">A65-100</f>
        <v>2023.8600000000001</v>
      </c>
      <c r="C65" s="3"/>
      <c r="D65" s="3">
        <v>2363.14</v>
      </c>
      <c r="E65" s="3">
        <f t="shared" ref="E65:E96" si="7">AVERAGE(A65:D65)</f>
        <v>2170.2866666666669</v>
      </c>
      <c r="F65" s="3">
        <f t="shared" ref="F65:F96" si="8">E65-120</f>
        <v>2050.2866666666669</v>
      </c>
    </row>
    <row r="66" spans="1:6" x14ac:dyDescent="0.25">
      <c r="A66" s="3">
        <v>1980.71</v>
      </c>
      <c r="B66" s="3">
        <f t="shared" si="6"/>
        <v>1880.71</v>
      </c>
      <c r="C66" s="3">
        <f>B66+100</f>
        <v>1980.71</v>
      </c>
      <c r="D66" s="3">
        <v>2365.33</v>
      </c>
      <c r="E66" s="3">
        <f t="shared" si="7"/>
        <v>2051.8649999999998</v>
      </c>
      <c r="F66" s="3">
        <f t="shared" si="8"/>
        <v>1931.8649999999998</v>
      </c>
    </row>
    <row r="67" spans="1:6" x14ac:dyDescent="0.25">
      <c r="A67" s="3">
        <v>1922.17</v>
      </c>
      <c r="B67" s="3">
        <f t="shared" si="6"/>
        <v>1822.17</v>
      </c>
      <c r="C67" s="3">
        <f>B67+100</f>
        <v>1922.17</v>
      </c>
      <c r="D67" s="3">
        <v>2387.04</v>
      </c>
      <c r="E67" s="3">
        <f t="shared" si="7"/>
        <v>2013.3875</v>
      </c>
      <c r="F67" s="3">
        <f t="shared" si="8"/>
        <v>1893.3875</v>
      </c>
    </row>
    <row r="68" spans="1:6" x14ac:dyDescent="0.25">
      <c r="A68" s="3">
        <v>1869.25</v>
      </c>
      <c r="B68" s="3">
        <f t="shared" si="6"/>
        <v>1769.25</v>
      </c>
      <c r="C68" s="3">
        <f t="shared" ref="C68:C74" si="9">B68+150</f>
        <v>1919.25</v>
      </c>
      <c r="D68" s="3">
        <v>2384.16</v>
      </c>
      <c r="E68" s="3">
        <f t="shared" si="7"/>
        <v>1985.4775</v>
      </c>
      <c r="F68" s="3">
        <f t="shared" si="8"/>
        <v>1865.4775</v>
      </c>
    </row>
    <row r="69" spans="1:6" x14ac:dyDescent="0.25">
      <c r="A69" s="3">
        <v>1850.54</v>
      </c>
      <c r="B69" s="3">
        <f t="shared" si="6"/>
        <v>1750.54</v>
      </c>
      <c r="C69" s="3">
        <f t="shared" si="9"/>
        <v>1900.54</v>
      </c>
      <c r="D69" s="3">
        <v>2380.0300000000002</v>
      </c>
      <c r="E69" s="3">
        <f t="shared" si="7"/>
        <v>1970.4124999999999</v>
      </c>
      <c r="F69" s="3">
        <f t="shared" si="8"/>
        <v>1850.4124999999999</v>
      </c>
    </row>
    <row r="70" spans="1:6" x14ac:dyDescent="0.25">
      <c r="A70" s="3">
        <v>1843.58</v>
      </c>
      <c r="B70" s="3">
        <f t="shared" si="6"/>
        <v>1743.58</v>
      </c>
      <c r="C70" s="3">
        <f t="shared" si="9"/>
        <v>1893.58</v>
      </c>
      <c r="D70" s="3">
        <v>2368.66</v>
      </c>
      <c r="E70" s="3">
        <f t="shared" si="7"/>
        <v>1962.35</v>
      </c>
      <c r="F70" s="3">
        <f t="shared" si="8"/>
        <v>1842.35</v>
      </c>
    </row>
    <row r="71" spans="1:6" x14ac:dyDescent="0.25">
      <c r="A71" s="3">
        <v>1813.53</v>
      </c>
      <c r="B71" s="3">
        <f t="shared" si="6"/>
        <v>1713.53</v>
      </c>
      <c r="C71" s="3">
        <f t="shared" si="9"/>
        <v>1863.53</v>
      </c>
      <c r="D71" s="3">
        <v>2377.39</v>
      </c>
      <c r="E71" s="3">
        <f t="shared" si="7"/>
        <v>1941.9949999999999</v>
      </c>
      <c r="F71" s="3">
        <f t="shared" si="8"/>
        <v>1821.9949999999999</v>
      </c>
    </row>
    <row r="72" spans="1:6" x14ac:dyDescent="0.25">
      <c r="A72" s="3">
        <v>1819.6</v>
      </c>
      <c r="B72" s="3">
        <f t="shared" si="6"/>
        <v>1719.6</v>
      </c>
      <c r="C72" s="3">
        <f t="shared" si="9"/>
        <v>1869.6</v>
      </c>
      <c r="D72" s="3">
        <v>2336.0300000000002</v>
      </c>
      <c r="E72" s="3">
        <f t="shared" si="7"/>
        <v>1936.2075</v>
      </c>
      <c r="F72" s="3">
        <f t="shared" si="8"/>
        <v>1816.2075</v>
      </c>
    </row>
    <row r="73" spans="1:6" x14ac:dyDescent="0.25">
      <c r="A73" s="3">
        <v>1887.47</v>
      </c>
      <c r="B73" s="3">
        <f t="shared" si="6"/>
        <v>1787.47</v>
      </c>
      <c r="C73" s="3">
        <f t="shared" si="9"/>
        <v>1937.47</v>
      </c>
      <c r="D73" s="8">
        <v>2316.48</v>
      </c>
      <c r="E73" s="3">
        <f t="shared" si="7"/>
        <v>1982.2224999999999</v>
      </c>
      <c r="F73" s="3">
        <f t="shared" si="8"/>
        <v>1862.2224999999999</v>
      </c>
    </row>
    <row r="74" spans="1:6" x14ac:dyDescent="0.25">
      <c r="A74" s="3">
        <v>1918.31</v>
      </c>
      <c r="B74" s="3">
        <f t="shared" si="6"/>
        <v>1818.31</v>
      </c>
      <c r="C74" s="3">
        <f t="shared" si="9"/>
        <v>1968.31</v>
      </c>
      <c r="D74" s="3">
        <v>2328.12</v>
      </c>
      <c r="E74" s="3">
        <f t="shared" si="7"/>
        <v>2008.2625</v>
      </c>
      <c r="F74" s="3">
        <f t="shared" si="8"/>
        <v>1888.2625</v>
      </c>
    </row>
    <row r="75" spans="1:6" x14ac:dyDescent="0.25">
      <c r="A75" s="3">
        <v>1965.44</v>
      </c>
      <c r="B75" s="3">
        <f t="shared" si="6"/>
        <v>1865.44</v>
      </c>
      <c r="C75" s="3">
        <f>B75+100</f>
        <v>1965.44</v>
      </c>
      <c r="D75" s="3">
        <v>2321.09</v>
      </c>
      <c r="E75" s="3">
        <f t="shared" si="7"/>
        <v>2029.3525</v>
      </c>
      <c r="F75" s="3">
        <f t="shared" si="8"/>
        <v>1909.3525</v>
      </c>
    </row>
    <row r="76" spans="1:6" x14ac:dyDescent="0.25">
      <c r="A76" s="3">
        <v>2015.4</v>
      </c>
      <c r="B76" s="3">
        <f t="shared" si="6"/>
        <v>1915.4</v>
      </c>
      <c r="C76" s="3">
        <f>B76+100</f>
        <v>2015.4</v>
      </c>
      <c r="D76" s="3">
        <v>2291.27</v>
      </c>
      <c r="E76" s="3">
        <f t="shared" si="7"/>
        <v>2059.3675000000003</v>
      </c>
      <c r="F76" s="3">
        <f t="shared" si="8"/>
        <v>1939.3675000000003</v>
      </c>
    </row>
    <row r="77" spans="1:6" x14ac:dyDescent="0.25">
      <c r="A77" s="3">
        <v>2090.9299999999998</v>
      </c>
      <c r="B77" s="3">
        <f t="shared" si="6"/>
        <v>1990.9299999999998</v>
      </c>
      <c r="C77" s="3">
        <f>B77+100</f>
        <v>2090.9299999999998</v>
      </c>
      <c r="D77" s="3">
        <v>2305.7600000000002</v>
      </c>
      <c r="E77" s="3">
        <f t="shared" si="7"/>
        <v>2119.6374999999998</v>
      </c>
      <c r="F77" s="3">
        <f t="shared" si="8"/>
        <v>1999.6374999999998</v>
      </c>
    </row>
    <row r="78" spans="1:6" x14ac:dyDescent="0.25">
      <c r="A78" s="3">
        <v>2135.98</v>
      </c>
      <c r="B78" s="3">
        <f t="shared" si="6"/>
        <v>2035.98</v>
      </c>
      <c r="C78" s="3">
        <f>B78+100</f>
        <v>2135.98</v>
      </c>
      <c r="D78" s="3">
        <v>2337.11</v>
      </c>
      <c r="E78" s="3">
        <f t="shared" si="7"/>
        <v>2161.2625000000003</v>
      </c>
      <c r="F78" s="3">
        <f t="shared" si="8"/>
        <v>2041.2625000000003</v>
      </c>
    </row>
    <row r="79" spans="1:6" x14ac:dyDescent="0.25">
      <c r="A79" s="3">
        <v>2218.39</v>
      </c>
      <c r="B79" s="3">
        <f t="shared" si="6"/>
        <v>2118.39</v>
      </c>
      <c r="C79">
        <v>2160</v>
      </c>
      <c r="D79" s="3">
        <v>2373.7600000000002</v>
      </c>
      <c r="E79" s="3">
        <f t="shared" si="7"/>
        <v>2217.6350000000002</v>
      </c>
      <c r="F79" s="3">
        <f t="shared" si="8"/>
        <v>2097.6350000000002</v>
      </c>
    </row>
    <row r="80" spans="1:6" x14ac:dyDescent="0.25">
      <c r="A80" s="3">
        <v>2279.0300000000002</v>
      </c>
      <c r="B80" s="3">
        <f t="shared" si="6"/>
        <v>2179.0300000000002</v>
      </c>
      <c r="C80" s="3">
        <v>2179.0300000000002</v>
      </c>
      <c r="D80" s="3">
        <v>2415.73</v>
      </c>
      <c r="E80" s="3">
        <f t="shared" si="7"/>
        <v>2263.2049999999999</v>
      </c>
      <c r="F80" s="3">
        <f t="shared" si="8"/>
        <v>2143.2049999999999</v>
      </c>
    </row>
    <row r="81" spans="1:6" x14ac:dyDescent="0.25">
      <c r="A81" s="3">
        <v>2302.38</v>
      </c>
      <c r="B81" s="3">
        <f t="shared" si="6"/>
        <v>2202.38</v>
      </c>
      <c r="C81" s="3">
        <v>2202.38</v>
      </c>
      <c r="D81" s="3">
        <v>2421.4899999999998</v>
      </c>
      <c r="E81" s="3">
        <f t="shared" si="7"/>
        <v>2282.1575000000003</v>
      </c>
      <c r="F81" s="3">
        <f t="shared" si="8"/>
        <v>2162.1575000000003</v>
      </c>
    </row>
    <row r="82" spans="1:6" x14ac:dyDescent="0.25">
      <c r="A82" s="3">
        <v>2315.6999999999998</v>
      </c>
      <c r="B82" s="3">
        <f t="shared" si="6"/>
        <v>2215.6999999999998</v>
      </c>
      <c r="C82" s="3">
        <v>2215.6999999999998</v>
      </c>
      <c r="D82" s="3">
        <v>2410.27</v>
      </c>
      <c r="E82" s="3">
        <f t="shared" si="7"/>
        <v>2289.3424999999997</v>
      </c>
      <c r="F82" s="3">
        <f t="shared" si="8"/>
        <v>2169.3424999999997</v>
      </c>
    </row>
    <row r="83" spans="1:6" x14ac:dyDescent="0.25">
      <c r="A83" s="3">
        <v>2341.56</v>
      </c>
      <c r="B83" s="3">
        <f t="shared" si="6"/>
        <v>2241.56</v>
      </c>
      <c r="C83" s="3">
        <v>2241.56</v>
      </c>
      <c r="D83" s="3">
        <v>2370.23</v>
      </c>
      <c r="E83" s="3">
        <f t="shared" si="7"/>
        <v>2298.7275</v>
      </c>
      <c r="F83" s="3">
        <f t="shared" si="8"/>
        <v>2178.7275</v>
      </c>
    </row>
    <row r="84" spans="1:6" x14ac:dyDescent="0.25">
      <c r="A84" s="3">
        <v>2308.56</v>
      </c>
      <c r="B84" s="3">
        <f t="shared" si="6"/>
        <v>2208.56</v>
      </c>
      <c r="C84" s="3">
        <v>2208.56</v>
      </c>
      <c r="D84" s="3">
        <v>2331.79</v>
      </c>
      <c r="E84" s="3">
        <f t="shared" si="7"/>
        <v>2264.3675000000003</v>
      </c>
      <c r="F84" s="3">
        <f t="shared" si="8"/>
        <v>2144.3675000000003</v>
      </c>
    </row>
    <row r="85" spans="1:6" x14ac:dyDescent="0.25">
      <c r="A85" s="3">
        <v>2319.4299999999998</v>
      </c>
      <c r="B85" s="3">
        <f t="shared" si="6"/>
        <v>2219.4299999999998</v>
      </c>
      <c r="C85" s="3">
        <v>2219.4299999999998</v>
      </c>
      <c r="D85" s="3">
        <v>2321.9</v>
      </c>
      <c r="E85" s="3">
        <f t="shared" si="7"/>
        <v>2270.0474999999997</v>
      </c>
      <c r="F85" s="3">
        <f t="shared" si="8"/>
        <v>2150.0474999999997</v>
      </c>
    </row>
    <row r="86" spans="1:6" x14ac:dyDescent="0.25">
      <c r="A86" s="3">
        <v>2320.31</v>
      </c>
      <c r="B86" s="3">
        <f t="shared" si="6"/>
        <v>2220.31</v>
      </c>
      <c r="C86" s="3">
        <v>2220.31</v>
      </c>
      <c r="D86" s="3">
        <v>2314.94</v>
      </c>
      <c r="E86" s="3">
        <f t="shared" si="7"/>
        <v>2268.9675000000002</v>
      </c>
      <c r="F86" s="3">
        <f t="shared" si="8"/>
        <v>2148.9675000000002</v>
      </c>
    </row>
    <row r="87" spans="1:6" x14ac:dyDescent="0.25">
      <c r="A87" s="3">
        <v>2318.5</v>
      </c>
      <c r="B87" s="3">
        <f t="shared" si="6"/>
        <v>2218.5</v>
      </c>
      <c r="C87" s="3">
        <v>2218.5</v>
      </c>
      <c r="D87" s="3">
        <v>2297.29</v>
      </c>
      <c r="E87" s="3">
        <f t="shared" si="7"/>
        <v>2263.1975000000002</v>
      </c>
      <c r="F87" s="3">
        <f t="shared" si="8"/>
        <v>2143.1975000000002</v>
      </c>
    </row>
    <row r="88" spans="1:6" x14ac:dyDescent="0.25">
      <c r="A88" s="3">
        <v>2312.75</v>
      </c>
      <c r="B88" s="3">
        <f t="shared" si="6"/>
        <v>2212.75</v>
      </c>
      <c r="C88" s="8">
        <v>2212.75</v>
      </c>
      <c r="D88" s="8">
        <v>2315.1</v>
      </c>
      <c r="E88" s="3">
        <f t="shared" si="7"/>
        <v>2263.3375000000001</v>
      </c>
      <c r="F88" s="3">
        <f t="shared" si="8"/>
        <v>2143.3375000000001</v>
      </c>
    </row>
    <row r="89" spans="1:6" x14ac:dyDescent="0.25">
      <c r="A89" s="3">
        <v>2343.34</v>
      </c>
      <c r="B89" s="3">
        <f t="shared" si="6"/>
        <v>2243.34</v>
      </c>
      <c r="C89" s="3">
        <v>2243.34</v>
      </c>
      <c r="D89" s="3">
        <v>2324.98</v>
      </c>
      <c r="E89" s="3">
        <f t="shared" si="7"/>
        <v>2288.75</v>
      </c>
      <c r="F89" s="3">
        <f t="shared" si="8"/>
        <v>2168.75</v>
      </c>
    </row>
    <row r="90" spans="1:6" x14ac:dyDescent="0.25">
      <c r="A90" s="3">
        <v>2360.04</v>
      </c>
      <c r="B90" s="3">
        <f t="shared" si="6"/>
        <v>2260.04</v>
      </c>
      <c r="C90" s="3">
        <v>2260.04</v>
      </c>
      <c r="D90" s="3">
        <v>2317.0700000000002</v>
      </c>
      <c r="E90" s="3">
        <f t="shared" si="7"/>
        <v>2299.2975000000001</v>
      </c>
      <c r="F90" s="3">
        <f t="shared" si="8"/>
        <v>2179.2975000000001</v>
      </c>
    </row>
    <row r="91" spans="1:6" x14ac:dyDescent="0.25">
      <c r="A91" s="3">
        <v>2358.33</v>
      </c>
      <c r="B91" s="3">
        <f t="shared" si="6"/>
        <v>2258.33</v>
      </c>
      <c r="C91" s="3">
        <v>2258.33</v>
      </c>
      <c r="D91" s="3">
        <v>2379.91</v>
      </c>
      <c r="E91" s="3">
        <f t="shared" si="7"/>
        <v>2313.7249999999999</v>
      </c>
      <c r="F91" s="3">
        <f t="shared" si="8"/>
        <v>2193.7249999999999</v>
      </c>
    </row>
    <row r="92" spans="1:6" x14ac:dyDescent="0.25">
      <c r="A92" s="3">
        <v>2359.59</v>
      </c>
      <c r="B92" s="3">
        <f t="shared" si="6"/>
        <v>2259.59</v>
      </c>
      <c r="C92" s="3">
        <v>2259.59</v>
      </c>
      <c r="D92" s="3">
        <v>2394.91</v>
      </c>
      <c r="E92" s="3">
        <f t="shared" si="7"/>
        <v>2318.42</v>
      </c>
      <c r="F92" s="3">
        <f t="shared" si="8"/>
        <v>2198.42</v>
      </c>
    </row>
    <row r="93" spans="1:6" x14ac:dyDescent="0.25">
      <c r="A93" s="3">
        <v>2422.27</v>
      </c>
      <c r="B93" s="3">
        <f t="shared" si="6"/>
        <v>2322.27</v>
      </c>
      <c r="C93" s="3">
        <v>2322.27</v>
      </c>
      <c r="D93" s="3">
        <v>2405.06</v>
      </c>
      <c r="E93" s="3">
        <f t="shared" si="7"/>
        <v>2367.9674999999997</v>
      </c>
      <c r="F93" s="3">
        <f t="shared" si="8"/>
        <v>2247.9674999999997</v>
      </c>
    </row>
    <row r="94" spans="1:6" x14ac:dyDescent="0.25">
      <c r="A94" s="3">
        <v>2409.27</v>
      </c>
      <c r="B94" s="3">
        <f t="shared" si="6"/>
        <v>2309.27</v>
      </c>
      <c r="C94" s="3">
        <v>2309.27</v>
      </c>
      <c r="D94" s="3">
        <v>2393.2800000000002</v>
      </c>
      <c r="E94" s="3">
        <f t="shared" si="7"/>
        <v>2355.2725</v>
      </c>
      <c r="F94" s="3">
        <f t="shared" si="8"/>
        <v>2235.2725</v>
      </c>
    </row>
    <row r="95" spans="1:6" x14ac:dyDescent="0.25">
      <c r="A95" s="3">
        <v>2417.83</v>
      </c>
      <c r="B95" s="3">
        <f t="shared" si="6"/>
        <v>2317.83</v>
      </c>
      <c r="C95" s="3">
        <v>2317.83</v>
      </c>
      <c r="D95" s="3">
        <v>2376.06</v>
      </c>
      <c r="E95" s="3">
        <f t="shared" si="7"/>
        <v>2357.3874999999998</v>
      </c>
      <c r="F95" s="3">
        <f t="shared" si="8"/>
        <v>2237.3874999999998</v>
      </c>
    </row>
    <row r="96" spans="1:6" x14ac:dyDescent="0.25">
      <c r="A96" s="3">
        <v>2408.3000000000002</v>
      </c>
      <c r="B96" s="3">
        <f t="shared" si="6"/>
        <v>2308.3000000000002</v>
      </c>
      <c r="C96" s="3">
        <v>2308.3000000000002</v>
      </c>
      <c r="D96" s="3">
        <v>2339.2600000000002</v>
      </c>
      <c r="E96" s="3">
        <f t="shared" si="7"/>
        <v>2341.04</v>
      </c>
      <c r="F96" s="3">
        <f t="shared" si="8"/>
        <v>2221.04</v>
      </c>
    </row>
    <row r="97" spans="1:6" ht="15.75" x14ac:dyDescent="0.25">
      <c r="A97" s="21">
        <f t="shared" ref="A97:F97" si="10">AVERAGE(A1:A96)*0.24</f>
        <v>541.87334999999985</v>
      </c>
      <c r="B97" s="21">
        <f t="shared" si="10"/>
        <v>517.87334999999985</v>
      </c>
      <c r="C97" s="21">
        <f t="shared" si="10"/>
        <v>517.22264999999982</v>
      </c>
      <c r="D97" s="21">
        <f t="shared" si="10"/>
        <v>607.86187500000005</v>
      </c>
      <c r="E97" s="21">
        <f t="shared" si="10"/>
        <v>548.08958333333351</v>
      </c>
      <c r="F97" s="21">
        <f t="shared" si="10"/>
        <v>519.28958333333355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9"/>
  <sheetViews>
    <sheetView workbookViewId="0">
      <selection activeCell="B2" sqref="B2:F99"/>
    </sheetView>
  </sheetViews>
  <sheetFormatPr defaultRowHeight="15" x14ac:dyDescent="0.25"/>
  <sheetData>
    <row r="2" spans="2:6" x14ac:dyDescent="0.25">
      <c r="E2" s="15">
        <v>43281</v>
      </c>
    </row>
    <row r="3" spans="2:6" x14ac:dyDescent="0.25">
      <c r="B3" s="3">
        <v>2393.1</v>
      </c>
      <c r="C3" s="3">
        <v>2316.1999999999998</v>
      </c>
      <c r="D3" s="3">
        <v>1932.51</v>
      </c>
      <c r="E3" s="3">
        <v>2156.6999999999998</v>
      </c>
      <c r="F3" s="3">
        <f t="shared" ref="F3:F34" si="0">E3-26</f>
        <v>2130.6999999999998</v>
      </c>
    </row>
    <row r="4" spans="2:6" x14ac:dyDescent="0.25">
      <c r="B4" s="3">
        <v>2369.4425000000001</v>
      </c>
      <c r="C4" s="3">
        <v>2271.98</v>
      </c>
      <c r="D4" s="3">
        <v>1923.87</v>
      </c>
      <c r="E4" s="3">
        <v>2112.96</v>
      </c>
      <c r="F4" s="3">
        <f t="shared" si="0"/>
        <v>2086.96</v>
      </c>
    </row>
    <row r="5" spans="2:6" x14ac:dyDescent="0.25">
      <c r="B5" s="3">
        <v>2374.5574999999999</v>
      </c>
      <c r="C5" s="3">
        <v>2271.09</v>
      </c>
      <c r="D5" s="3">
        <v>1921.35</v>
      </c>
      <c r="E5" s="3">
        <v>2106.5300000000002</v>
      </c>
      <c r="F5" s="3">
        <f t="shared" si="0"/>
        <v>2080.5300000000002</v>
      </c>
    </row>
    <row r="6" spans="2:6" x14ac:dyDescent="0.25">
      <c r="B6" s="3">
        <v>2377.2575000000002</v>
      </c>
      <c r="C6" s="3">
        <v>2265.19</v>
      </c>
      <c r="D6" s="3">
        <v>1904.53</v>
      </c>
      <c r="E6" s="3">
        <v>2101.15</v>
      </c>
      <c r="F6" s="3">
        <f t="shared" si="0"/>
        <v>2075.15</v>
      </c>
    </row>
    <row r="7" spans="2:6" x14ac:dyDescent="0.25">
      <c r="B7" s="3">
        <v>2351.6600000000003</v>
      </c>
      <c r="C7" s="3">
        <v>2284.27</v>
      </c>
      <c r="D7" s="3">
        <v>1908.34</v>
      </c>
      <c r="E7" s="3">
        <v>2079.56</v>
      </c>
      <c r="F7" s="3">
        <f t="shared" si="0"/>
        <v>2053.56</v>
      </c>
    </row>
    <row r="8" spans="2:6" x14ac:dyDescent="0.25">
      <c r="B8" s="3">
        <v>2301.7224999999999</v>
      </c>
      <c r="C8" s="3">
        <v>2277.0700000000002</v>
      </c>
      <c r="D8" s="3">
        <v>1906.09</v>
      </c>
      <c r="E8" s="3">
        <v>2059.85</v>
      </c>
      <c r="F8" s="3">
        <f t="shared" si="0"/>
        <v>2033.85</v>
      </c>
    </row>
    <row r="9" spans="2:6" x14ac:dyDescent="0.25">
      <c r="B9" s="3">
        <v>2297.5724999999998</v>
      </c>
      <c r="C9" s="3">
        <v>2275.38</v>
      </c>
      <c r="D9" s="3">
        <v>1875.64</v>
      </c>
      <c r="E9" s="3">
        <v>2053.35</v>
      </c>
      <c r="F9" s="3">
        <f t="shared" si="0"/>
        <v>2027.35</v>
      </c>
    </row>
    <row r="10" spans="2:6" x14ac:dyDescent="0.25">
      <c r="B10" s="3">
        <v>2317.2975000000001</v>
      </c>
      <c r="C10" s="3">
        <v>2293.41</v>
      </c>
      <c r="D10" s="3">
        <v>1869.63</v>
      </c>
      <c r="E10" s="3">
        <v>2038.71</v>
      </c>
      <c r="F10" s="3">
        <f t="shared" si="0"/>
        <v>2012.71</v>
      </c>
    </row>
    <row r="11" spans="2:6" x14ac:dyDescent="0.25">
      <c r="B11" s="3">
        <v>2315.4024999999997</v>
      </c>
      <c r="C11" s="3">
        <v>2275.31</v>
      </c>
      <c r="D11" s="3">
        <v>1847.14</v>
      </c>
      <c r="E11" s="3">
        <v>2012.9</v>
      </c>
      <c r="F11" s="3">
        <f t="shared" si="0"/>
        <v>1986.9</v>
      </c>
    </row>
    <row r="12" spans="2:6" x14ac:dyDescent="0.25">
      <c r="B12" s="3">
        <v>2293.6149999999998</v>
      </c>
      <c r="C12" s="3">
        <v>2253.42</v>
      </c>
      <c r="D12" s="3">
        <v>1832.56</v>
      </c>
      <c r="E12" s="3">
        <v>2012.65</v>
      </c>
      <c r="F12" s="3">
        <f t="shared" si="0"/>
        <v>1986.65</v>
      </c>
    </row>
    <row r="13" spans="2:6" x14ac:dyDescent="0.25">
      <c r="B13" s="3">
        <v>2270.1750000000002</v>
      </c>
      <c r="C13" s="3">
        <v>2223.23</v>
      </c>
      <c r="D13" s="3">
        <v>1841.74</v>
      </c>
      <c r="E13" s="3">
        <v>2009.36</v>
      </c>
      <c r="F13" s="3">
        <f t="shared" si="0"/>
        <v>1983.36</v>
      </c>
    </row>
    <row r="14" spans="2:6" x14ac:dyDescent="0.25">
      <c r="B14" s="3">
        <v>2250.37</v>
      </c>
      <c r="C14" s="3">
        <v>2192.8200000000002</v>
      </c>
      <c r="D14" s="3">
        <v>1827.92</v>
      </c>
      <c r="E14" s="3">
        <v>1981.49</v>
      </c>
      <c r="F14" s="3">
        <f t="shared" si="0"/>
        <v>1955.49</v>
      </c>
    </row>
    <row r="15" spans="2:6" x14ac:dyDescent="0.25">
      <c r="B15" s="3">
        <v>2255.1999999999998</v>
      </c>
      <c r="C15" s="3">
        <v>2173.88</v>
      </c>
      <c r="D15" s="3">
        <v>1840.76</v>
      </c>
      <c r="E15" s="3">
        <v>1973.89</v>
      </c>
      <c r="F15" s="3">
        <f t="shared" si="0"/>
        <v>1947.89</v>
      </c>
    </row>
    <row r="16" spans="2:6" x14ac:dyDescent="0.25">
      <c r="B16" s="3">
        <v>2236.7849999999999</v>
      </c>
      <c r="C16" s="3">
        <v>2155.7800000000002</v>
      </c>
      <c r="D16" s="3">
        <v>1833.2</v>
      </c>
      <c r="E16" s="3">
        <v>1976.85</v>
      </c>
      <c r="F16" s="3">
        <f t="shared" si="0"/>
        <v>1950.85</v>
      </c>
    </row>
    <row r="17" spans="2:6" x14ac:dyDescent="0.25">
      <c r="B17" s="3">
        <v>2237.4625000000001</v>
      </c>
      <c r="C17" s="3">
        <v>2147.34</v>
      </c>
      <c r="D17" s="3">
        <v>1829.1</v>
      </c>
      <c r="E17" s="3">
        <v>1970.21</v>
      </c>
      <c r="F17" s="3">
        <f t="shared" si="0"/>
        <v>1944.21</v>
      </c>
    </row>
    <row r="18" spans="2:6" x14ac:dyDescent="0.25">
      <c r="B18" s="3">
        <v>2221.3675000000003</v>
      </c>
      <c r="C18" s="3">
        <v>2101.1999999999998</v>
      </c>
      <c r="D18" s="3">
        <v>1832.18</v>
      </c>
      <c r="E18" s="3">
        <v>1971.15</v>
      </c>
      <c r="F18" s="3">
        <f t="shared" si="0"/>
        <v>1945.15</v>
      </c>
    </row>
    <row r="19" spans="2:6" x14ac:dyDescent="0.25">
      <c r="B19" s="3">
        <v>2192.5625</v>
      </c>
      <c r="C19" s="3">
        <v>2096.73</v>
      </c>
      <c r="D19" s="3">
        <v>1820.7</v>
      </c>
      <c r="E19" s="3">
        <v>1966.76</v>
      </c>
      <c r="F19" s="3">
        <f t="shared" si="0"/>
        <v>1940.76</v>
      </c>
    </row>
    <row r="20" spans="2:6" x14ac:dyDescent="0.25">
      <c r="B20" s="3">
        <v>2181.9674999999997</v>
      </c>
      <c r="C20" s="3">
        <v>2090.0700000000002</v>
      </c>
      <c r="D20" s="3">
        <v>1808.39</v>
      </c>
      <c r="E20" s="3">
        <v>1943.63</v>
      </c>
      <c r="F20" s="3">
        <f t="shared" si="0"/>
        <v>1917.63</v>
      </c>
    </row>
    <row r="21" spans="2:6" x14ac:dyDescent="0.25">
      <c r="B21" s="3">
        <v>2170.2199999999998</v>
      </c>
      <c r="C21" s="3">
        <v>2090.65</v>
      </c>
      <c r="D21" s="3">
        <v>1809.99</v>
      </c>
      <c r="E21" s="3">
        <v>1953.58</v>
      </c>
      <c r="F21" s="3">
        <f t="shared" si="0"/>
        <v>1927.58</v>
      </c>
    </row>
    <row r="22" spans="2:6" x14ac:dyDescent="0.25">
      <c r="B22" s="8">
        <v>2158.9674999999997</v>
      </c>
      <c r="C22" s="8">
        <v>2064.54</v>
      </c>
      <c r="D22" s="8">
        <v>1816.28</v>
      </c>
      <c r="E22" s="8">
        <v>1912.89</v>
      </c>
      <c r="F22" s="3">
        <f t="shared" si="0"/>
        <v>1886.89</v>
      </c>
    </row>
    <row r="23" spans="2:6" x14ac:dyDescent="0.25">
      <c r="B23" s="3">
        <v>2169.4250000000002</v>
      </c>
      <c r="C23" s="3">
        <v>2060</v>
      </c>
      <c r="D23" s="3">
        <v>1814.68</v>
      </c>
      <c r="E23" s="3">
        <v>1953.5</v>
      </c>
      <c r="F23" s="3">
        <f t="shared" si="0"/>
        <v>1927.5</v>
      </c>
    </row>
    <row r="24" spans="2:6" x14ac:dyDescent="0.25">
      <c r="B24" s="3">
        <v>2177.9675000000002</v>
      </c>
      <c r="C24" s="3">
        <v>2067.61</v>
      </c>
      <c r="D24" s="3">
        <v>1838.4</v>
      </c>
      <c r="E24" s="3">
        <v>1943.84</v>
      </c>
      <c r="F24" s="3">
        <f t="shared" si="0"/>
        <v>1917.84</v>
      </c>
    </row>
    <row r="25" spans="2:6" x14ac:dyDescent="0.25">
      <c r="B25" s="3">
        <v>2197.7449999999999</v>
      </c>
      <c r="C25" s="3">
        <v>2080.34</v>
      </c>
      <c r="D25" s="3">
        <v>1875.79</v>
      </c>
      <c r="E25" s="3">
        <v>1986.07</v>
      </c>
      <c r="F25" s="3">
        <f t="shared" si="0"/>
        <v>1960.07</v>
      </c>
    </row>
    <row r="26" spans="2:6" x14ac:dyDescent="0.25">
      <c r="B26" s="3">
        <v>2220.665</v>
      </c>
      <c r="C26" s="3">
        <v>2111.34</v>
      </c>
      <c r="D26" s="3">
        <v>1933.2</v>
      </c>
      <c r="E26" s="3">
        <v>2024.81</v>
      </c>
      <c r="F26" s="3">
        <f t="shared" si="0"/>
        <v>1998.81</v>
      </c>
    </row>
    <row r="27" spans="2:6" x14ac:dyDescent="0.25">
      <c r="B27" s="3">
        <v>2249.855</v>
      </c>
      <c r="C27" s="3">
        <v>2148.92</v>
      </c>
      <c r="D27" s="3">
        <v>1996.49</v>
      </c>
      <c r="E27" s="3">
        <v>2020.38</v>
      </c>
      <c r="F27" s="3">
        <f t="shared" si="0"/>
        <v>1994.38</v>
      </c>
    </row>
    <row r="28" spans="2:6" x14ac:dyDescent="0.25">
      <c r="B28" s="3">
        <v>2280.79</v>
      </c>
      <c r="C28" s="3">
        <v>2161.73</v>
      </c>
      <c r="D28" s="3">
        <v>2037.92</v>
      </c>
      <c r="E28" s="3">
        <v>2031.29</v>
      </c>
      <c r="F28" s="3">
        <f t="shared" si="0"/>
        <v>2005.29</v>
      </c>
    </row>
    <row r="29" spans="2:6" x14ac:dyDescent="0.25">
      <c r="B29" s="3">
        <v>2303.38</v>
      </c>
      <c r="C29" s="3">
        <v>2184.46</v>
      </c>
      <c r="D29" s="3">
        <v>2065.9299999999998</v>
      </c>
      <c r="E29" s="3">
        <v>2025.37</v>
      </c>
      <c r="F29" s="3">
        <f t="shared" si="0"/>
        <v>1999.37</v>
      </c>
    </row>
    <row r="30" spans="2:6" x14ac:dyDescent="0.25">
      <c r="B30" s="3">
        <v>2301.4750000000004</v>
      </c>
      <c r="C30" s="3">
        <v>2178.4299999999998</v>
      </c>
      <c r="D30" s="3">
        <v>2105.37</v>
      </c>
      <c r="E30" s="3">
        <v>2062.27</v>
      </c>
      <c r="F30" s="3">
        <f t="shared" si="0"/>
        <v>2036.27</v>
      </c>
    </row>
    <row r="31" spans="2:6" x14ac:dyDescent="0.25">
      <c r="B31" s="3">
        <v>2318.9850000000001</v>
      </c>
      <c r="C31" s="3">
        <v>2186.08</v>
      </c>
      <c r="D31" s="3">
        <v>2158.08</v>
      </c>
      <c r="E31" s="3">
        <v>2083.42</v>
      </c>
      <c r="F31" s="3">
        <f t="shared" si="0"/>
        <v>2057.42</v>
      </c>
    </row>
    <row r="32" spans="2:6" x14ac:dyDescent="0.25">
      <c r="B32" s="3">
        <v>2327.4724999999999</v>
      </c>
      <c r="C32" s="3">
        <v>2190.67</v>
      </c>
      <c r="D32" s="3">
        <v>2175.77</v>
      </c>
      <c r="E32" s="3">
        <v>2078.3000000000002</v>
      </c>
      <c r="F32" s="3">
        <f t="shared" si="0"/>
        <v>2052.3000000000002</v>
      </c>
    </row>
    <row r="33" spans="2:6" x14ac:dyDescent="0.25">
      <c r="B33" s="3">
        <v>2345.6324999999997</v>
      </c>
      <c r="C33" s="3">
        <v>2223.67</v>
      </c>
      <c r="E33" s="3">
        <v>2092.91</v>
      </c>
      <c r="F33" s="3">
        <f t="shared" si="0"/>
        <v>2066.91</v>
      </c>
    </row>
    <row r="34" spans="2:6" x14ac:dyDescent="0.25">
      <c r="B34" s="3">
        <v>2328.8724999999999</v>
      </c>
      <c r="C34" s="3">
        <v>2198.13</v>
      </c>
      <c r="E34" s="3">
        <v>2154.4299999999998</v>
      </c>
      <c r="F34" s="3">
        <f t="shared" si="0"/>
        <v>2128.4299999999998</v>
      </c>
    </row>
    <row r="35" spans="2:6" x14ac:dyDescent="0.25">
      <c r="B35" s="9">
        <v>2308.355</v>
      </c>
      <c r="C35" s="9">
        <v>2195</v>
      </c>
      <c r="D35" s="7"/>
      <c r="E35" s="9">
        <v>2130.65</v>
      </c>
      <c r="F35" s="3">
        <f t="shared" ref="F35:F66" si="1">E35-26</f>
        <v>2104.65</v>
      </c>
    </row>
    <row r="36" spans="2:6" x14ac:dyDescent="0.25">
      <c r="B36" s="3">
        <v>2349.8700000000003</v>
      </c>
      <c r="C36" s="3">
        <v>2117</v>
      </c>
      <c r="E36" s="3">
        <v>2067.3200000000002</v>
      </c>
      <c r="F36" s="3">
        <f t="shared" si="1"/>
        <v>2041.3200000000002</v>
      </c>
    </row>
    <row r="37" spans="2:6" x14ac:dyDescent="0.25">
      <c r="B37" s="3">
        <v>2349.83</v>
      </c>
      <c r="C37" s="3">
        <v>2087</v>
      </c>
      <c r="E37" s="3">
        <v>2062.13</v>
      </c>
      <c r="F37" s="3">
        <f t="shared" si="1"/>
        <v>2036.13</v>
      </c>
    </row>
    <row r="38" spans="2:6" x14ac:dyDescent="0.25">
      <c r="B38" s="3">
        <v>2337.8833333333332</v>
      </c>
      <c r="C38" s="3">
        <v>2026</v>
      </c>
      <c r="E38" s="3">
        <v>2102.34</v>
      </c>
      <c r="F38" s="3">
        <f t="shared" si="1"/>
        <v>2076.34</v>
      </c>
    </row>
    <row r="39" spans="2:6" x14ac:dyDescent="0.25">
      <c r="B39" s="3">
        <v>2308.5033333333336</v>
      </c>
      <c r="C39" s="3">
        <v>2018</v>
      </c>
      <c r="E39" s="3">
        <v>2051.91</v>
      </c>
      <c r="F39" s="3">
        <f t="shared" si="1"/>
        <v>2025.9099999999999</v>
      </c>
    </row>
    <row r="40" spans="2:6" x14ac:dyDescent="0.25">
      <c r="B40" s="3">
        <v>2274.9133333333334</v>
      </c>
      <c r="C40" s="3">
        <v>1986</v>
      </c>
      <c r="E40" s="3">
        <v>2078.52</v>
      </c>
      <c r="F40" s="3">
        <f t="shared" si="1"/>
        <v>2052.52</v>
      </c>
    </row>
    <row r="41" spans="2:6" x14ac:dyDescent="0.25">
      <c r="B41" s="3">
        <v>2251.436666666667</v>
      </c>
      <c r="C41" s="3">
        <v>1974</v>
      </c>
      <c r="E41" s="3">
        <v>2036.49</v>
      </c>
      <c r="F41" s="3">
        <f t="shared" si="1"/>
        <v>2010.49</v>
      </c>
    </row>
    <row r="42" spans="2:6" x14ac:dyDescent="0.25">
      <c r="B42" s="3">
        <v>2208.6233333333334</v>
      </c>
      <c r="C42" s="3">
        <v>1966</v>
      </c>
      <c r="E42" s="3">
        <v>1996.25</v>
      </c>
      <c r="F42" s="3">
        <f t="shared" si="1"/>
        <v>1970.25</v>
      </c>
    </row>
    <row r="43" spans="2:6" x14ac:dyDescent="0.25">
      <c r="B43" s="8">
        <v>2160.9266666666667</v>
      </c>
      <c r="C43" s="8">
        <v>1950</v>
      </c>
      <c r="D43" s="6"/>
      <c r="E43" s="8">
        <v>2025.57</v>
      </c>
      <c r="F43" s="3">
        <f t="shared" si="1"/>
        <v>1999.57</v>
      </c>
    </row>
    <row r="44" spans="2:6" x14ac:dyDescent="0.25">
      <c r="B44" s="3">
        <v>2122.8933333333334</v>
      </c>
      <c r="C44" s="3">
        <v>1931</v>
      </c>
      <c r="E44" s="3">
        <v>1973.37</v>
      </c>
      <c r="F44" s="3">
        <f t="shared" si="1"/>
        <v>1947.37</v>
      </c>
    </row>
    <row r="45" spans="2:6" x14ac:dyDescent="0.25">
      <c r="B45" s="3">
        <v>2101.9699999999998</v>
      </c>
      <c r="C45" s="3">
        <v>1914</v>
      </c>
      <c r="E45" s="3">
        <v>1932.89</v>
      </c>
      <c r="F45" s="3">
        <f t="shared" si="1"/>
        <v>1906.89</v>
      </c>
    </row>
    <row r="46" spans="2:6" x14ac:dyDescent="0.25">
      <c r="B46" s="3">
        <v>2080.4899999999998</v>
      </c>
      <c r="C46" s="3">
        <v>1855</v>
      </c>
      <c r="E46" s="3">
        <v>1941.58</v>
      </c>
      <c r="F46" s="3">
        <f t="shared" si="1"/>
        <v>1915.58</v>
      </c>
    </row>
    <row r="47" spans="2:6" x14ac:dyDescent="0.25">
      <c r="B47" s="3">
        <v>2051.0166666666664</v>
      </c>
      <c r="C47" s="3">
        <v>1868</v>
      </c>
      <c r="E47" s="3">
        <v>1940.9</v>
      </c>
      <c r="F47" s="3">
        <f t="shared" si="1"/>
        <v>1914.9</v>
      </c>
    </row>
    <row r="48" spans="2:6" x14ac:dyDescent="0.25">
      <c r="B48" s="3">
        <v>2051.0133333333329</v>
      </c>
      <c r="C48" s="3">
        <v>1886</v>
      </c>
      <c r="E48" s="3">
        <v>1941.22</v>
      </c>
      <c r="F48" s="3">
        <f t="shared" si="1"/>
        <v>1915.22</v>
      </c>
    </row>
    <row r="49" spans="2:6" x14ac:dyDescent="0.25">
      <c r="B49" s="3">
        <v>2039.1</v>
      </c>
      <c r="C49" s="3">
        <v>1861</v>
      </c>
      <c r="E49" s="3">
        <v>1909.62</v>
      </c>
      <c r="F49" s="3">
        <f t="shared" si="1"/>
        <v>1883.62</v>
      </c>
    </row>
    <row r="50" spans="2:6" x14ac:dyDescent="0.25">
      <c r="B50" s="3">
        <v>2028.1233333333334</v>
      </c>
      <c r="C50" s="3">
        <v>1825</v>
      </c>
      <c r="E50" s="3">
        <v>1880.32</v>
      </c>
      <c r="F50" s="3">
        <f t="shared" si="1"/>
        <v>1854.32</v>
      </c>
    </row>
    <row r="51" spans="2:6" x14ac:dyDescent="0.25">
      <c r="B51" s="3">
        <v>2022.8333333333335</v>
      </c>
      <c r="C51" s="3">
        <v>1792</v>
      </c>
      <c r="E51" s="3">
        <v>1864.73</v>
      </c>
      <c r="F51" s="3">
        <f t="shared" si="1"/>
        <v>1838.73</v>
      </c>
    </row>
    <row r="52" spans="2:6" x14ac:dyDescent="0.25">
      <c r="B52" s="3">
        <v>2019.8733333333334</v>
      </c>
      <c r="C52" s="3">
        <v>1764</v>
      </c>
      <c r="E52" s="3">
        <v>1878.33</v>
      </c>
      <c r="F52" s="3">
        <f t="shared" si="1"/>
        <v>1852.33</v>
      </c>
    </row>
    <row r="53" spans="2:6" x14ac:dyDescent="0.25">
      <c r="B53" s="3">
        <v>1979.15</v>
      </c>
      <c r="C53" s="3">
        <v>1757</v>
      </c>
      <c r="E53" s="3">
        <v>1832.22</v>
      </c>
      <c r="F53" s="3">
        <f t="shared" si="1"/>
        <v>1806.22</v>
      </c>
    </row>
    <row r="54" spans="2:6" x14ac:dyDescent="0.25">
      <c r="B54" s="3">
        <v>1976.52</v>
      </c>
      <c r="C54" s="3">
        <v>1734</v>
      </c>
      <c r="E54" s="3">
        <v>1815.79</v>
      </c>
      <c r="F54" s="3">
        <f t="shared" si="1"/>
        <v>1789.79</v>
      </c>
    </row>
    <row r="55" spans="2:6" x14ac:dyDescent="0.25">
      <c r="B55" s="3">
        <v>2034.3333333333335</v>
      </c>
      <c r="C55" s="3">
        <v>1753</v>
      </c>
      <c r="E55" s="3">
        <v>1858</v>
      </c>
      <c r="F55" s="3">
        <f t="shared" si="1"/>
        <v>1832</v>
      </c>
    </row>
    <row r="56" spans="2:6" x14ac:dyDescent="0.25">
      <c r="B56" s="3">
        <v>2068.9666666666667</v>
      </c>
      <c r="C56" s="3">
        <v>1740</v>
      </c>
      <c r="E56" s="3">
        <v>1836.87</v>
      </c>
      <c r="F56" s="3">
        <f t="shared" si="1"/>
        <v>1810.87</v>
      </c>
    </row>
    <row r="57" spans="2:6" x14ac:dyDescent="0.25">
      <c r="B57" s="3">
        <v>2067.7266666666669</v>
      </c>
      <c r="C57" s="3">
        <v>1729</v>
      </c>
      <c r="E57" s="3">
        <v>1834.32</v>
      </c>
      <c r="F57" s="3">
        <f t="shared" si="1"/>
        <v>1808.32</v>
      </c>
    </row>
    <row r="58" spans="2:6" x14ac:dyDescent="0.25">
      <c r="B58" s="3">
        <v>2070.7400000000002</v>
      </c>
      <c r="C58" s="3">
        <v>1716</v>
      </c>
      <c r="E58" s="3">
        <v>1818.8</v>
      </c>
      <c r="F58" s="3">
        <f t="shared" si="1"/>
        <v>1792.8</v>
      </c>
    </row>
    <row r="59" spans="2:6" x14ac:dyDescent="0.25">
      <c r="B59" s="3">
        <v>2082.88</v>
      </c>
      <c r="C59" s="3">
        <v>1690</v>
      </c>
      <c r="E59" s="3">
        <v>1838.67</v>
      </c>
      <c r="F59" s="3">
        <f t="shared" si="1"/>
        <v>1812.67</v>
      </c>
    </row>
    <row r="60" spans="2:6" x14ac:dyDescent="0.25">
      <c r="B60" s="3">
        <v>2104.98</v>
      </c>
      <c r="C60" s="3">
        <v>1669</v>
      </c>
      <c r="E60" s="3">
        <v>1909.02</v>
      </c>
      <c r="F60" s="3">
        <f t="shared" si="1"/>
        <v>1883.02</v>
      </c>
    </row>
    <row r="61" spans="2:6" x14ac:dyDescent="0.25">
      <c r="B61" s="3">
        <v>2085.2599999999998</v>
      </c>
      <c r="C61" s="3">
        <v>1650</v>
      </c>
      <c r="E61" s="3">
        <v>1909.02</v>
      </c>
      <c r="F61" s="3">
        <f t="shared" si="1"/>
        <v>1883.02</v>
      </c>
    </row>
    <row r="62" spans="2:6" x14ac:dyDescent="0.25">
      <c r="B62" s="3">
        <v>2072.7199999999998</v>
      </c>
      <c r="C62" s="3">
        <v>1621</v>
      </c>
      <c r="E62" s="3">
        <v>1859.25</v>
      </c>
      <c r="F62" s="3">
        <f t="shared" si="1"/>
        <v>1833.25</v>
      </c>
    </row>
    <row r="63" spans="2:6" x14ac:dyDescent="0.25">
      <c r="B63" s="3">
        <v>2072.14</v>
      </c>
      <c r="C63" s="3">
        <v>1606</v>
      </c>
      <c r="E63" s="3">
        <v>1871.12</v>
      </c>
      <c r="F63" s="3">
        <f t="shared" si="1"/>
        <v>1845.12</v>
      </c>
    </row>
    <row r="64" spans="2:6" x14ac:dyDescent="0.25">
      <c r="B64" s="3">
        <v>2037.0666666666666</v>
      </c>
      <c r="C64" s="3">
        <v>1598</v>
      </c>
      <c r="E64" s="3">
        <v>1915.77</v>
      </c>
      <c r="F64" s="3">
        <f t="shared" si="1"/>
        <v>1889.77</v>
      </c>
    </row>
    <row r="65" spans="2:6" x14ac:dyDescent="0.25">
      <c r="B65" s="3">
        <v>2022.8066666666668</v>
      </c>
      <c r="C65" s="3">
        <v>1596</v>
      </c>
      <c r="E65" s="3">
        <v>1903.15</v>
      </c>
      <c r="F65" s="3">
        <f t="shared" si="1"/>
        <v>1877.15</v>
      </c>
    </row>
    <row r="66" spans="2:6" x14ac:dyDescent="0.25">
      <c r="B66" s="3">
        <v>2028.9866666666667</v>
      </c>
      <c r="C66" s="3">
        <v>1594</v>
      </c>
      <c r="E66" s="3">
        <v>1858.4</v>
      </c>
      <c r="F66" s="3">
        <f t="shared" si="1"/>
        <v>1832.4</v>
      </c>
    </row>
    <row r="67" spans="2:6" x14ac:dyDescent="0.25">
      <c r="B67" s="3">
        <v>2030.2866666666669</v>
      </c>
      <c r="C67" s="3">
        <v>1606</v>
      </c>
      <c r="E67" s="3">
        <v>1867.75</v>
      </c>
      <c r="F67" s="3">
        <f t="shared" ref="F67:F98" si="2">E67-26</f>
        <v>1841.75</v>
      </c>
    </row>
    <row r="68" spans="2:6" x14ac:dyDescent="0.25">
      <c r="B68" s="3">
        <v>1980</v>
      </c>
      <c r="C68" s="3">
        <v>1608</v>
      </c>
      <c r="E68" s="3">
        <v>1876.83</v>
      </c>
      <c r="F68" s="3">
        <f t="shared" si="2"/>
        <v>1850.83</v>
      </c>
    </row>
    <row r="69" spans="2:6" x14ac:dyDescent="0.25">
      <c r="B69" s="3">
        <v>1953.3875</v>
      </c>
      <c r="C69" s="3">
        <v>1600</v>
      </c>
      <c r="E69" s="3">
        <v>1847.04</v>
      </c>
      <c r="F69" s="3">
        <f t="shared" si="2"/>
        <v>1821.04</v>
      </c>
    </row>
    <row r="70" spans="2:6" x14ac:dyDescent="0.25">
      <c r="B70" s="3">
        <v>1925.4775</v>
      </c>
      <c r="C70" s="3">
        <v>1626</v>
      </c>
      <c r="E70" s="3">
        <v>1842</v>
      </c>
      <c r="F70" s="3">
        <f t="shared" si="2"/>
        <v>1816</v>
      </c>
    </row>
    <row r="71" spans="2:6" x14ac:dyDescent="0.25">
      <c r="B71" s="3">
        <v>1910.4124999999999</v>
      </c>
      <c r="C71" s="3">
        <v>1661.73</v>
      </c>
      <c r="E71" s="3">
        <v>1879</v>
      </c>
      <c r="F71" s="3">
        <f t="shared" si="2"/>
        <v>1853</v>
      </c>
    </row>
    <row r="72" spans="2:6" x14ac:dyDescent="0.25">
      <c r="B72" s="3">
        <v>1902.35</v>
      </c>
      <c r="C72" s="3">
        <v>1679.35</v>
      </c>
      <c r="E72" s="3">
        <v>1906.99</v>
      </c>
      <c r="F72" s="3">
        <f t="shared" si="2"/>
        <v>1880.99</v>
      </c>
    </row>
    <row r="73" spans="2:6" x14ac:dyDescent="0.25">
      <c r="B73" s="3">
        <v>1881.9949999999999</v>
      </c>
      <c r="C73" s="3">
        <v>1704.99</v>
      </c>
      <c r="E73" s="3">
        <v>1943.25</v>
      </c>
      <c r="F73" s="3">
        <f t="shared" si="2"/>
        <v>1917.25</v>
      </c>
    </row>
    <row r="74" spans="2:6" x14ac:dyDescent="0.25">
      <c r="B74" s="9">
        <v>1876.2075</v>
      </c>
      <c r="C74" s="9">
        <v>1749.28</v>
      </c>
      <c r="D74" s="7"/>
      <c r="E74" s="9">
        <v>1931.17</v>
      </c>
      <c r="F74" s="3">
        <f t="shared" si="2"/>
        <v>1905.17</v>
      </c>
    </row>
    <row r="75" spans="2:6" x14ac:dyDescent="0.25">
      <c r="B75" s="8">
        <v>1922.2224999999999</v>
      </c>
      <c r="C75" s="8">
        <v>1794.28</v>
      </c>
      <c r="D75" s="6"/>
      <c r="E75" s="8">
        <v>1925.47</v>
      </c>
      <c r="F75" s="3">
        <f t="shared" si="2"/>
        <v>1899.47</v>
      </c>
    </row>
    <row r="76" spans="2:6" x14ac:dyDescent="0.25">
      <c r="B76" s="3">
        <v>1948.2625</v>
      </c>
      <c r="C76" s="3">
        <v>1823.06</v>
      </c>
      <c r="E76" s="3">
        <v>1918.16</v>
      </c>
      <c r="F76" s="3">
        <f t="shared" si="2"/>
        <v>1892.16</v>
      </c>
    </row>
    <row r="77" spans="2:6" x14ac:dyDescent="0.25">
      <c r="B77" s="3">
        <v>1969.3525</v>
      </c>
      <c r="C77" s="3">
        <v>1838.03</v>
      </c>
      <c r="E77" s="3">
        <v>1922.71</v>
      </c>
      <c r="F77" s="3">
        <f t="shared" si="2"/>
        <v>1896.71</v>
      </c>
    </row>
    <row r="78" spans="2:6" x14ac:dyDescent="0.25">
      <c r="B78" s="3">
        <v>1999.3675000000003</v>
      </c>
      <c r="C78" s="3">
        <v>1889.95</v>
      </c>
      <c r="E78" s="3">
        <v>1936.55</v>
      </c>
      <c r="F78" s="3">
        <f t="shared" si="2"/>
        <v>1910.55</v>
      </c>
    </row>
    <row r="79" spans="2:6" x14ac:dyDescent="0.25">
      <c r="B79" s="3">
        <v>2059.6374999999998</v>
      </c>
      <c r="C79" s="3">
        <v>1944.57</v>
      </c>
      <c r="E79" s="3">
        <v>1994.59</v>
      </c>
      <c r="F79" s="3">
        <f t="shared" si="2"/>
        <v>1968.59</v>
      </c>
    </row>
    <row r="80" spans="2:6" x14ac:dyDescent="0.25">
      <c r="B80" s="3">
        <v>2101.2625000000003</v>
      </c>
      <c r="C80" s="3">
        <v>1982.23</v>
      </c>
      <c r="E80" s="3">
        <v>2086.35</v>
      </c>
      <c r="F80" s="3">
        <f t="shared" si="2"/>
        <v>2060.35</v>
      </c>
    </row>
    <row r="81" spans="2:6" x14ac:dyDescent="0.25">
      <c r="B81" s="3">
        <v>2157.6350000000002</v>
      </c>
      <c r="C81" s="3">
        <v>2023.1</v>
      </c>
      <c r="E81" s="3">
        <v>2142.63</v>
      </c>
      <c r="F81" s="3">
        <f t="shared" si="2"/>
        <v>2116.63</v>
      </c>
    </row>
    <row r="82" spans="2:6" x14ac:dyDescent="0.25">
      <c r="B82" s="3">
        <v>2203.2049999999999</v>
      </c>
      <c r="C82" s="3">
        <v>2071.5500000000002</v>
      </c>
      <c r="E82" s="3">
        <v>2224.0700000000002</v>
      </c>
      <c r="F82" s="3">
        <f t="shared" si="2"/>
        <v>2198.0700000000002</v>
      </c>
    </row>
    <row r="83" spans="2:6" x14ac:dyDescent="0.25">
      <c r="B83" s="3">
        <v>2222.1575000000003</v>
      </c>
      <c r="C83" s="3">
        <v>2102.4699999999998</v>
      </c>
      <c r="E83" s="3">
        <v>2335.9899999999998</v>
      </c>
      <c r="F83" s="3">
        <f t="shared" si="2"/>
        <v>2309.9899999999998</v>
      </c>
    </row>
    <row r="84" spans="2:6" x14ac:dyDescent="0.25">
      <c r="B84" s="3">
        <v>2229.3424999999997</v>
      </c>
      <c r="C84" s="3">
        <v>2069.19</v>
      </c>
      <c r="E84" s="3">
        <v>2384.9</v>
      </c>
      <c r="F84" s="3">
        <f t="shared" si="2"/>
        <v>2358.9</v>
      </c>
    </row>
    <row r="85" spans="2:6" x14ac:dyDescent="0.25">
      <c r="B85" s="3">
        <v>2238.7275</v>
      </c>
      <c r="C85" s="3">
        <v>2039.39</v>
      </c>
      <c r="E85" s="3">
        <v>2384.2800000000002</v>
      </c>
      <c r="F85" s="3">
        <f t="shared" si="2"/>
        <v>2358.2800000000002</v>
      </c>
    </row>
    <row r="86" spans="2:6" x14ac:dyDescent="0.25">
      <c r="B86" s="3">
        <v>2204.3675000000003</v>
      </c>
      <c r="C86" s="3">
        <v>2001.26</v>
      </c>
      <c r="E86" s="3">
        <v>2423.44</v>
      </c>
      <c r="F86" s="3">
        <f t="shared" si="2"/>
        <v>2397.44</v>
      </c>
    </row>
    <row r="87" spans="2:6" x14ac:dyDescent="0.25">
      <c r="B87" s="3">
        <v>2210.0474999999997</v>
      </c>
      <c r="C87" s="3">
        <v>1970.67</v>
      </c>
      <c r="E87" s="3">
        <v>2384.0300000000002</v>
      </c>
      <c r="F87" s="3">
        <f t="shared" si="2"/>
        <v>2358.0300000000002</v>
      </c>
    </row>
    <row r="88" spans="2:6" x14ac:dyDescent="0.25">
      <c r="B88" s="3">
        <v>2208.9675000000002</v>
      </c>
      <c r="C88" s="3">
        <v>1958.51</v>
      </c>
      <c r="E88" s="3">
        <v>2378.54</v>
      </c>
      <c r="F88" s="3">
        <f t="shared" si="2"/>
        <v>2352.54</v>
      </c>
    </row>
    <row r="89" spans="2:6" x14ac:dyDescent="0.25">
      <c r="B89" s="3">
        <v>2203.1975000000002</v>
      </c>
      <c r="C89" s="3">
        <v>1939.18</v>
      </c>
      <c r="E89" s="3">
        <v>2377.64</v>
      </c>
      <c r="F89" s="3">
        <f t="shared" si="2"/>
        <v>2351.64</v>
      </c>
    </row>
    <row r="90" spans="2:6" x14ac:dyDescent="0.25">
      <c r="B90" s="8">
        <v>2203.3375000000001</v>
      </c>
      <c r="C90" s="8">
        <v>1912.43</v>
      </c>
      <c r="D90" s="6"/>
      <c r="E90" s="8">
        <v>2381.0300000000002</v>
      </c>
      <c r="F90" s="3">
        <f t="shared" si="2"/>
        <v>2355.0300000000002</v>
      </c>
    </row>
    <row r="91" spans="2:6" x14ac:dyDescent="0.25">
      <c r="B91" s="3">
        <v>2228.75</v>
      </c>
      <c r="C91" s="3">
        <v>1930.37</v>
      </c>
      <c r="E91" s="3">
        <v>2374.64</v>
      </c>
      <c r="F91" s="3">
        <f t="shared" si="2"/>
        <v>2348.64</v>
      </c>
    </row>
    <row r="92" spans="2:6" x14ac:dyDescent="0.25">
      <c r="B92" s="3">
        <v>2239.2975000000001</v>
      </c>
      <c r="C92" s="3">
        <v>1941.05</v>
      </c>
      <c r="E92" s="3">
        <v>2385.98</v>
      </c>
      <c r="F92" s="3">
        <f t="shared" si="2"/>
        <v>2359.98</v>
      </c>
    </row>
    <row r="93" spans="2:6" x14ac:dyDescent="0.25">
      <c r="B93" s="3">
        <v>2253.7249999999999</v>
      </c>
      <c r="C93" s="3">
        <v>1957.4</v>
      </c>
      <c r="E93" s="3">
        <v>2409.27</v>
      </c>
      <c r="F93" s="3">
        <f t="shared" si="2"/>
        <v>2383.27</v>
      </c>
    </row>
    <row r="94" spans="2:6" x14ac:dyDescent="0.25">
      <c r="B94" s="3">
        <v>2258.42</v>
      </c>
      <c r="C94" s="3">
        <v>1958.56</v>
      </c>
      <c r="E94" s="3">
        <v>2415.11</v>
      </c>
      <c r="F94" s="3">
        <f t="shared" si="2"/>
        <v>2389.11</v>
      </c>
    </row>
    <row r="95" spans="2:6" x14ac:dyDescent="0.25">
      <c r="B95" s="3">
        <v>2307.9674999999997</v>
      </c>
      <c r="C95" s="3">
        <v>1957.49</v>
      </c>
      <c r="E95" s="3">
        <v>2401.1999999999998</v>
      </c>
      <c r="F95" s="3">
        <f t="shared" si="2"/>
        <v>2375.1999999999998</v>
      </c>
    </row>
    <row r="96" spans="2:6" x14ac:dyDescent="0.25">
      <c r="B96" s="3">
        <v>2295.2725</v>
      </c>
      <c r="C96" s="3">
        <v>1958.42</v>
      </c>
      <c r="E96" s="3">
        <v>2418.09</v>
      </c>
      <c r="F96" s="3">
        <f t="shared" si="2"/>
        <v>2392.09</v>
      </c>
    </row>
    <row r="97" spans="2:6" x14ac:dyDescent="0.25">
      <c r="B97" s="3">
        <v>2297.3874999999998</v>
      </c>
      <c r="C97" s="3">
        <v>1941.07</v>
      </c>
      <c r="E97" s="3">
        <v>2407.84</v>
      </c>
      <c r="F97" s="3">
        <f t="shared" si="2"/>
        <v>2381.84</v>
      </c>
    </row>
    <row r="98" spans="2:6" x14ac:dyDescent="0.25">
      <c r="B98" s="3">
        <v>2281.04</v>
      </c>
      <c r="C98" s="3">
        <v>1941.15</v>
      </c>
      <c r="E98" s="3">
        <v>2395.1999999999998</v>
      </c>
      <c r="F98" s="3">
        <f t="shared" si="2"/>
        <v>2369.1999999999998</v>
      </c>
    </row>
    <row r="99" spans="2:6" ht="15.75" x14ac:dyDescent="0.25">
      <c r="B99" s="21">
        <f>AVERAGE(B3:B98)*0.24</f>
        <v>520.65992083333356</v>
      </c>
      <c r="C99" s="21">
        <f>AVERAGE(C3:C98)*0.24</f>
        <v>471.39917500000013</v>
      </c>
      <c r="D99" s="21">
        <f>AVERAGE(D3:D98)*0.24</f>
        <v>457.46839999999992</v>
      </c>
      <c r="E99" s="21">
        <f>AVERAGE(E3:E98)*0.24</f>
        <v>490.56760000000008</v>
      </c>
      <c r="F99" s="21">
        <f>AVERAGE(F3:F98)*0.24</f>
        <v>484.32760000000007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8"/>
  <sheetViews>
    <sheetView workbookViewId="0">
      <selection activeCell="I25" sqref="I25"/>
    </sheetView>
  </sheetViews>
  <sheetFormatPr defaultRowHeight="15" x14ac:dyDescent="0.25"/>
  <sheetData>
    <row r="2" spans="1:5" x14ac:dyDescent="0.25">
      <c r="A2" s="3">
        <v>2670.85</v>
      </c>
      <c r="B2" s="3">
        <v>2645.27</v>
      </c>
      <c r="C2" s="3">
        <v>2691.9497149999997</v>
      </c>
      <c r="D2" s="3">
        <f t="shared" ref="D2:D33" si="0">AVERAGE(A2:C2)</f>
        <v>2669.3565716666667</v>
      </c>
      <c r="E2" s="3">
        <f t="shared" ref="E2:E33" si="1">50+D2</f>
        <v>2719.3565716666667</v>
      </c>
    </row>
    <row r="3" spans="1:5" x14ac:dyDescent="0.25">
      <c r="A3" s="3">
        <v>2666.74</v>
      </c>
      <c r="B3" s="3">
        <v>2641.78</v>
      </c>
      <c r="C3" s="3">
        <v>2687.8072459999999</v>
      </c>
      <c r="D3" s="3">
        <f t="shared" si="0"/>
        <v>2665.4424153333334</v>
      </c>
      <c r="E3" s="3">
        <f t="shared" si="1"/>
        <v>2715.4424153333334</v>
      </c>
    </row>
    <row r="4" spans="1:5" x14ac:dyDescent="0.25">
      <c r="A4" s="3">
        <v>2663.49</v>
      </c>
      <c r="B4" s="3">
        <v>2653.56</v>
      </c>
      <c r="C4" s="3">
        <v>2684.531571</v>
      </c>
      <c r="D4" s="3">
        <f t="shared" si="0"/>
        <v>2667.1938569999998</v>
      </c>
      <c r="E4" s="3">
        <f t="shared" si="1"/>
        <v>2717.1938569999998</v>
      </c>
    </row>
    <row r="5" spans="1:5" x14ac:dyDescent="0.25">
      <c r="A5" s="3">
        <v>2642.75</v>
      </c>
      <c r="B5" s="3">
        <v>2649.65</v>
      </c>
      <c r="C5" s="3">
        <v>2663.6277249999998</v>
      </c>
      <c r="D5" s="3">
        <f t="shared" si="0"/>
        <v>2652.0092416666666</v>
      </c>
      <c r="E5" s="3">
        <f t="shared" si="1"/>
        <v>2702.0092416666666</v>
      </c>
    </row>
    <row r="6" spans="1:5" x14ac:dyDescent="0.25">
      <c r="A6" s="3">
        <v>2632.74</v>
      </c>
      <c r="B6" s="3">
        <v>2617.5300000000002</v>
      </c>
      <c r="C6" s="3">
        <v>2653.538646</v>
      </c>
      <c r="D6" s="3">
        <f t="shared" si="0"/>
        <v>2634.6028820000001</v>
      </c>
      <c r="E6" s="3">
        <f t="shared" si="1"/>
        <v>2684.6028820000001</v>
      </c>
    </row>
    <row r="7" spans="1:5" x14ac:dyDescent="0.25">
      <c r="A7" s="3">
        <v>2623.48</v>
      </c>
      <c r="B7" s="3">
        <v>2617.1799999999998</v>
      </c>
      <c r="C7" s="3">
        <v>2644.205492</v>
      </c>
      <c r="D7" s="3">
        <f t="shared" si="0"/>
        <v>2628.2884973333335</v>
      </c>
      <c r="E7" s="3">
        <f t="shared" si="1"/>
        <v>2678.2884973333335</v>
      </c>
    </row>
    <row r="8" spans="1:5" x14ac:dyDescent="0.25">
      <c r="A8" s="3">
        <v>2620.54</v>
      </c>
      <c r="B8" s="3">
        <v>2609.48</v>
      </c>
      <c r="C8" s="3">
        <v>2641.2422660000002</v>
      </c>
      <c r="D8" s="3">
        <f t="shared" si="0"/>
        <v>2623.754088666667</v>
      </c>
      <c r="E8" s="3">
        <f t="shared" si="1"/>
        <v>2673.754088666667</v>
      </c>
    </row>
    <row r="9" spans="1:5" x14ac:dyDescent="0.25">
      <c r="A9" s="3">
        <v>2614.19</v>
      </c>
      <c r="B9" s="3">
        <v>2602.12</v>
      </c>
      <c r="C9" s="3">
        <v>2634.8421010000002</v>
      </c>
      <c r="D9" s="3">
        <f t="shared" si="0"/>
        <v>2617.0507003333332</v>
      </c>
      <c r="E9" s="3">
        <f t="shared" si="1"/>
        <v>2667.0507003333332</v>
      </c>
    </row>
    <row r="10" spans="1:5" x14ac:dyDescent="0.25">
      <c r="A10" s="3">
        <v>2614.89</v>
      </c>
      <c r="B10" s="3">
        <v>2592.0300000000002</v>
      </c>
      <c r="C10" s="3">
        <v>2635.5476309999999</v>
      </c>
      <c r="D10" s="3">
        <f t="shared" si="0"/>
        <v>2614.1558769999997</v>
      </c>
      <c r="E10" s="3">
        <f t="shared" si="1"/>
        <v>2664.1558769999997</v>
      </c>
    </row>
    <row r="11" spans="1:5" x14ac:dyDescent="0.25">
      <c r="A11" s="3">
        <v>2573.5700000000002</v>
      </c>
      <c r="B11" s="3">
        <v>2578.85</v>
      </c>
      <c r="C11" s="3">
        <v>2593.9012030000004</v>
      </c>
      <c r="D11" s="3">
        <f t="shared" si="0"/>
        <v>2582.1070676666668</v>
      </c>
      <c r="E11" s="3">
        <f t="shared" si="1"/>
        <v>2632.1070676666668</v>
      </c>
    </row>
    <row r="12" spans="1:5" x14ac:dyDescent="0.25">
      <c r="A12" s="3">
        <v>2547.38</v>
      </c>
      <c r="B12" s="3">
        <v>2569.11</v>
      </c>
      <c r="C12" s="3">
        <v>2567.5043020000003</v>
      </c>
      <c r="D12" s="3">
        <f t="shared" si="0"/>
        <v>2561.3314340000002</v>
      </c>
      <c r="E12" s="3">
        <f t="shared" si="1"/>
        <v>2611.3314340000002</v>
      </c>
    </row>
    <row r="13" spans="1:5" x14ac:dyDescent="0.25">
      <c r="A13" s="3">
        <v>2535.63</v>
      </c>
      <c r="B13" s="3">
        <v>2554.0100000000002</v>
      </c>
      <c r="C13" s="3">
        <v>2555.6614770000001</v>
      </c>
      <c r="D13" s="3">
        <f t="shared" si="0"/>
        <v>2548.433825666667</v>
      </c>
      <c r="E13" s="3">
        <f t="shared" si="1"/>
        <v>2598.433825666667</v>
      </c>
    </row>
    <row r="14" spans="1:5" x14ac:dyDescent="0.25">
      <c r="A14" s="3">
        <v>2547.62</v>
      </c>
      <c r="B14" s="3">
        <v>2554.4299999999998</v>
      </c>
      <c r="C14" s="3">
        <v>2567.7461979999998</v>
      </c>
      <c r="D14" s="3">
        <f t="shared" si="0"/>
        <v>2556.5987326666664</v>
      </c>
      <c r="E14" s="3">
        <f t="shared" si="1"/>
        <v>2606.5987326666664</v>
      </c>
    </row>
    <row r="15" spans="1:5" x14ac:dyDescent="0.25">
      <c r="A15" s="3">
        <v>2551.5500000000002</v>
      </c>
      <c r="B15" s="3">
        <v>2554.2600000000002</v>
      </c>
      <c r="C15" s="3">
        <v>2571.7072450000001</v>
      </c>
      <c r="D15" s="3">
        <f t="shared" si="0"/>
        <v>2559.1724150000005</v>
      </c>
      <c r="E15" s="3">
        <f t="shared" si="1"/>
        <v>2609.1724150000005</v>
      </c>
    </row>
    <row r="16" spans="1:5" x14ac:dyDescent="0.25">
      <c r="A16" s="3">
        <v>2548.1799999999998</v>
      </c>
      <c r="B16" s="3">
        <v>2546.2600000000002</v>
      </c>
      <c r="C16" s="3">
        <v>2568.310622</v>
      </c>
      <c r="D16" s="3">
        <f t="shared" si="0"/>
        <v>2554.2502073333335</v>
      </c>
      <c r="E16" s="3">
        <f t="shared" si="1"/>
        <v>2604.2502073333335</v>
      </c>
    </row>
    <row r="17" spans="1:5" x14ac:dyDescent="0.25">
      <c r="A17" s="3">
        <v>2553.04</v>
      </c>
      <c r="B17" s="3">
        <v>2548.48</v>
      </c>
      <c r="C17" s="3">
        <v>2573.2090159999998</v>
      </c>
      <c r="D17" s="3">
        <f t="shared" si="0"/>
        <v>2558.2430053333333</v>
      </c>
      <c r="E17" s="3">
        <f t="shared" si="1"/>
        <v>2608.2430053333333</v>
      </c>
    </row>
    <row r="18" spans="1:5" x14ac:dyDescent="0.25">
      <c r="A18" s="3">
        <v>2554.5</v>
      </c>
      <c r="B18" s="3">
        <v>2527.7399999999998</v>
      </c>
      <c r="C18" s="3">
        <v>2574.68055</v>
      </c>
      <c r="D18" s="3">
        <f t="shared" si="0"/>
        <v>2552.3068499999999</v>
      </c>
      <c r="E18" s="3">
        <f t="shared" si="1"/>
        <v>2602.3068499999999</v>
      </c>
    </row>
    <row r="19" spans="1:5" x14ac:dyDescent="0.25">
      <c r="A19" s="3">
        <v>2546.15</v>
      </c>
      <c r="B19" s="3">
        <v>2527.85</v>
      </c>
      <c r="C19" s="3">
        <v>2566.2645850000004</v>
      </c>
      <c r="D19" s="3">
        <f t="shared" si="0"/>
        <v>2546.7548616666668</v>
      </c>
      <c r="E19" s="3">
        <f t="shared" si="1"/>
        <v>2596.7548616666668</v>
      </c>
    </row>
    <row r="20" spans="1:5" x14ac:dyDescent="0.25">
      <c r="A20" s="3">
        <v>2542.9299999999998</v>
      </c>
      <c r="B20" s="3">
        <v>2543.08</v>
      </c>
      <c r="C20" s="3">
        <v>2563.019147</v>
      </c>
      <c r="D20" s="3">
        <f t="shared" si="0"/>
        <v>2549.6763823333335</v>
      </c>
      <c r="E20" s="3">
        <f t="shared" si="1"/>
        <v>2599.6763823333335</v>
      </c>
    </row>
    <row r="21" spans="1:5" x14ac:dyDescent="0.25">
      <c r="A21" s="3">
        <v>2551.4299999999998</v>
      </c>
      <c r="B21" s="8">
        <v>2539.06</v>
      </c>
      <c r="C21" s="3">
        <v>2571.5862969999998</v>
      </c>
      <c r="D21" s="3">
        <f t="shared" si="0"/>
        <v>2554.0254323333334</v>
      </c>
      <c r="E21" s="3">
        <f t="shared" si="1"/>
        <v>2604.0254323333334</v>
      </c>
    </row>
    <row r="22" spans="1:5" x14ac:dyDescent="0.25">
      <c r="A22" s="3">
        <v>2563.6799999999998</v>
      </c>
      <c r="B22" s="3">
        <v>2531.5700000000002</v>
      </c>
      <c r="C22" s="3">
        <v>2583.9330719999998</v>
      </c>
      <c r="D22" s="3">
        <f t="shared" si="0"/>
        <v>2559.7276906666666</v>
      </c>
      <c r="E22" s="3">
        <f t="shared" si="1"/>
        <v>2609.7276906666666</v>
      </c>
    </row>
    <row r="23" spans="1:5" x14ac:dyDescent="0.25">
      <c r="A23" s="3">
        <v>2580.9499999999998</v>
      </c>
      <c r="B23" s="3">
        <v>2569.9</v>
      </c>
      <c r="C23" s="3">
        <v>2601.3395049999999</v>
      </c>
      <c r="D23" s="3">
        <f t="shared" si="0"/>
        <v>2584.0631683333336</v>
      </c>
      <c r="E23" s="3">
        <f t="shared" si="1"/>
        <v>2634.0631683333336</v>
      </c>
    </row>
    <row r="24" spans="1:5" x14ac:dyDescent="0.25">
      <c r="A24" s="3">
        <v>2629.79</v>
      </c>
      <c r="B24" s="3">
        <v>2620.4299999999998</v>
      </c>
      <c r="C24" s="3">
        <v>2650.565341</v>
      </c>
      <c r="D24" s="3">
        <f t="shared" si="0"/>
        <v>2633.5951136666663</v>
      </c>
      <c r="E24" s="3">
        <f t="shared" si="1"/>
        <v>2683.5951136666663</v>
      </c>
    </row>
    <row r="25" spans="1:5" x14ac:dyDescent="0.25">
      <c r="A25" s="3">
        <v>2682.29</v>
      </c>
      <c r="B25" s="3">
        <v>2672.71</v>
      </c>
      <c r="C25" s="3">
        <v>2703.4800909999999</v>
      </c>
      <c r="D25" s="3">
        <f t="shared" si="0"/>
        <v>2686.160030333333</v>
      </c>
      <c r="E25" s="3">
        <f t="shared" si="1"/>
        <v>2736.160030333333</v>
      </c>
    </row>
    <row r="26" spans="1:5" x14ac:dyDescent="0.25">
      <c r="A26" s="3">
        <v>2726.69</v>
      </c>
      <c r="B26" s="3">
        <v>2717.96</v>
      </c>
      <c r="C26" s="3">
        <v>2748.2308510000003</v>
      </c>
      <c r="D26" s="3">
        <f t="shared" si="0"/>
        <v>2730.9602836666668</v>
      </c>
      <c r="E26" s="3">
        <f t="shared" si="1"/>
        <v>2780.9602836666668</v>
      </c>
    </row>
    <row r="27" spans="1:5" x14ac:dyDescent="0.25">
      <c r="A27" s="3">
        <v>2720.08</v>
      </c>
      <c r="B27" s="3">
        <v>2741.71</v>
      </c>
      <c r="C27" s="3">
        <v>2741.568632</v>
      </c>
      <c r="D27" s="3">
        <f t="shared" si="0"/>
        <v>2734.4528773333332</v>
      </c>
      <c r="E27" s="3">
        <f t="shared" si="1"/>
        <v>2784.4528773333332</v>
      </c>
    </row>
    <row r="28" spans="1:5" x14ac:dyDescent="0.25">
      <c r="A28" s="3">
        <v>2707.82</v>
      </c>
      <c r="B28" s="3">
        <v>2706.76</v>
      </c>
      <c r="C28" s="3">
        <v>2729.2117780000003</v>
      </c>
      <c r="D28" s="3">
        <f t="shared" si="0"/>
        <v>2714.5972593333336</v>
      </c>
      <c r="E28" s="3">
        <f t="shared" si="1"/>
        <v>2764.5972593333336</v>
      </c>
    </row>
    <row r="29" spans="1:5" x14ac:dyDescent="0.25">
      <c r="A29" s="3">
        <v>2710</v>
      </c>
      <c r="B29" s="3">
        <v>2673.35</v>
      </c>
      <c r="C29" s="3">
        <v>2731.4090000000001</v>
      </c>
      <c r="D29" s="3">
        <f t="shared" si="0"/>
        <v>2704.9196666666667</v>
      </c>
      <c r="E29" s="3">
        <f t="shared" si="1"/>
        <v>2754.9196666666667</v>
      </c>
    </row>
    <row r="30" spans="1:5" x14ac:dyDescent="0.25">
      <c r="A30" s="3">
        <v>2705.31</v>
      </c>
      <c r="B30" s="3">
        <v>2696.76</v>
      </c>
      <c r="C30" s="3">
        <v>2726.6819489999998</v>
      </c>
      <c r="D30" s="3">
        <f t="shared" si="0"/>
        <v>2709.583983</v>
      </c>
      <c r="E30" s="3">
        <f t="shared" si="1"/>
        <v>2759.583983</v>
      </c>
    </row>
    <row r="31" spans="1:5" x14ac:dyDescent="0.25">
      <c r="A31" s="3">
        <v>2747.9</v>
      </c>
      <c r="B31" s="3">
        <v>2709.84</v>
      </c>
      <c r="C31" s="3">
        <v>2769.6084100000003</v>
      </c>
      <c r="D31" s="3">
        <f t="shared" si="0"/>
        <v>2742.44947</v>
      </c>
      <c r="E31" s="3">
        <f t="shared" si="1"/>
        <v>2792.44947</v>
      </c>
    </row>
    <row r="32" spans="1:5" x14ac:dyDescent="0.25">
      <c r="A32" s="3">
        <v>2748.92</v>
      </c>
      <c r="B32" s="3">
        <v>2709.28</v>
      </c>
      <c r="C32" s="3">
        <v>2770.6364680000001</v>
      </c>
      <c r="D32" s="3">
        <f t="shared" si="0"/>
        <v>2742.9454893333336</v>
      </c>
      <c r="E32" s="3">
        <f t="shared" si="1"/>
        <v>2792.9454893333336</v>
      </c>
    </row>
    <row r="33" spans="1:5" x14ac:dyDescent="0.25">
      <c r="A33" s="3">
        <v>2748.38</v>
      </c>
      <c r="B33" s="3">
        <v>2694.8</v>
      </c>
      <c r="C33" s="3">
        <v>2770.0922020000003</v>
      </c>
      <c r="D33" s="3">
        <f t="shared" si="0"/>
        <v>2737.7574006666669</v>
      </c>
      <c r="E33" s="3">
        <f t="shared" si="1"/>
        <v>2787.7574006666669</v>
      </c>
    </row>
    <row r="34" spans="1:5" x14ac:dyDescent="0.25">
      <c r="A34" s="3">
        <v>2710.45</v>
      </c>
      <c r="B34" s="9">
        <v>2660.08</v>
      </c>
      <c r="C34" s="3">
        <v>2731.4090000000001</v>
      </c>
      <c r="D34" s="3">
        <f t="shared" ref="D34:D65" si="2">AVERAGE(A34:C34)</f>
        <v>2700.6463333333336</v>
      </c>
      <c r="E34" s="3">
        <f t="shared" ref="E34:E65" si="3">50+D34</f>
        <v>2750.6463333333336</v>
      </c>
    </row>
    <row r="35" spans="1:5" x14ac:dyDescent="0.25">
      <c r="A35" s="3">
        <v>2639.04</v>
      </c>
      <c r="B35" s="3"/>
      <c r="C35" s="3">
        <v>2659.8481000000002</v>
      </c>
      <c r="D35" s="3">
        <f t="shared" si="2"/>
        <v>2649.4440500000001</v>
      </c>
      <c r="E35" s="3">
        <f t="shared" si="3"/>
        <v>2699.4440500000001</v>
      </c>
    </row>
    <row r="36" spans="1:5" x14ac:dyDescent="0.25">
      <c r="A36" s="3">
        <v>2610.48</v>
      </c>
      <c r="B36" s="3"/>
      <c r="C36" s="3">
        <v>2630.6190000000001</v>
      </c>
      <c r="D36" s="3">
        <f t="shared" si="2"/>
        <v>2620.5495000000001</v>
      </c>
      <c r="E36" s="3">
        <f t="shared" si="3"/>
        <v>2670.5495000000001</v>
      </c>
    </row>
    <row r="37" spans="1:5" x14ac:dyDescent="0.25">
      <c r="A37" s="3">
        <v>2608.7399999999998</v>
      </c>
      <c r="B37" s="3"/>
      <c r="C37" s="3">
        <v>2701</v>
      </c>
      <c r="D37" s="3">
        <f t="shared" si="2"/>
        <v>2654.87</v>
      </c>
      <c r="E37" s="3">
        <f t="shared" si="3"/>
        <v>2704.87</v>
      </c>
    </row>
    <row r="38" spans="1:5" x14ac:dyDescent="0.25">
      <c r="A38" s="3">
        <v>2596.63</v>
      </c>
      <c r="B38" s="3"/>
      <c r="C38" s="3">
        <v>2690</v>
      </c>
      <c r="D38" s="3">
        <f t="shared" si="2"/>
        <v>2643.3150000000001</v>
      </c>
      <c r="E38" s="3">
        <f t="shared" si="3"/>
        <v>2693.3150000000001</v>
      </c>
    </row>
    <row r="39" spans="1:5" x14ac:dyDescent="0.25">
      <c r="A39" s="3">
        <v>2572.17</v>
      </c>
      <c r="B39" s="3"/>
      <c r="C39" s="3">
        <v>2656.8244</v>
      </c>
      <c r="D39" s="3">
        <f t="shared" si="2"/>
        <v>2614.4971999999998</v>
      </c>
      <c r="E39" s="3">
        <f t="shared" si="3"/>
        <v>2664.4971999999998</v>
      </c>
    </row>
    <row r="40" spans="1:5" x14ac:dyDescent="0.25">
      <c r="A40" s="3">
        <v>2554.56</v>
      </c>
      <c r="B40" s="3"/>
      <c r="C40" s="3">
        <v>2632.6348000000003</v>
      </c>
      <c r="D40" s="3">
        <f t="shared" si="2"/>
        <v>2593.5974000000001</v>
      </c>
      <c r="E40" s="3">
        <f t="shared" si="3"/>
        <v>2643.5974000000001</v>
      </c>
    </row>
    <row r="41" spans="1:5" x14ac:dyDescent="0.25">
      <c r="A41" s="3">
        <v>2535.6</v>
      </c>
      <c r="B41" s="3"/>
      <c r="C41" s="3">
        <v>2606.4294</v>
      </c>
      <c r="D41" s="3">
        <f t="shared" si="2"/>
        <v>2571.0146999999997</v>
      </c>
      <c r="E41" s="3">
        <f t="shared" si="3"/>
        <v>2621.0146999999997</v>
      </c>
    </row>
    <row r="42" spans="1:5" x14ac:dyDescent="0.25">
      <c r="A42" s="3">
        <v>2543.94</v>
      </c>
      <c r="B42" s="8"/>
      <c r="C42" s="3">
        <v>2587.2793000000001</v>
      </c>
      <c r="D42" s="3">
        <f t="shared" si="2"/>
        <v>2565.6096500000003</v>
      </c>
      <c r="E42" s="3">
        <f t="shared" si="3"/>
        <v>2615.6096500000003</v>
      </c>
    </row>
    <row r="43" spans="1:5" x14ac:dyDescent="0.25">
      <c r="A43" s="3">
        <v>2532.27</v>
      </c>
      <c r="B43" s="3"/>
      <c r="C43" s="3">
        <v>2556.0344</v>
      </c>
      <c r="D43" s="3">
        <f t="shared" si="2"/>
        <v>2544.1522</v>
      </c>
      <c r="E43" s="3">
        <f t="shared" si="3"/>
        <v>2594.1522</v>
      </c>
    </row>
    <row r="44" spans="1:5" x14ac:dyDescent="0.25">
      <c r="A44" s="3">
        <v>2543.19</v>
      </c>
      <c r="B44" s="3"/>
      <c r="C44" s="3">
        <v>2548.9791</v>
      </c>
      <c r="D44" s="3">
        <f t="shared" si="2"/>
        <v>2546.08455</v>
      </c>
      <c r="E44" s="3">
        <f t="shared" si="3"/>
        <v>2596.08455</v>
      </c>
    </row>
    <row r="45" spans="1:5" x14ac:dyDescent="0.25">
      <c r="A45" s="3">
        <v>2535.2800000000002</v>
      </c>
      <c r="B45" s="3"/>
      <c r="C45" s="3">
        <v>2546.9632999999999</v>
      </c>
      <c r="D45" s="3">
        <f t="shared" si="2"/>
        <v>2541.12165</v>
      </c>
      <c r="E45" s="3">
        <f t="shared" si="3"/>
        <v>2591.12165</v>
      </c>
    </row>
    <row r="46" spans="1:5" x14ac:dyDescent="0.25">
      <c r="A46" s="3">
        <v>2503.0100000000002</v>
      </c>
      <c r="B46" s="3"/>
      <c r="C46" s="3">
        <v>2521.7658000000001</v>
      </c>
      <c r="D46" s="3">
        <f t="shared" si="2"/>
        <v>2512.3879000000002</v>
      </c>
      <c r="E46" s="3">
        <f t="shared" si="3"/>
        <v>2562.3879000000002</v>
      </c>
    </row>
    <row r="47" spans="1:5" x14ac:dyDescent="0.25">
      <c r="A47" s="3">
        <v>2492.67</v>
      </c>
      <c r="B47" s="3"/>
      <c r="C47" s="3">
        <v>2545.9553999999998</v>
      </c>
      <c r="D47" s="3">
        <f t="shared" si="2"/>
        <v>2519.3126999999999</v>
      </c>
      <c r="E47" s="3">
        <f t="shared" si="3"/>
        <v>2569.3126999999999</v>
      </c>
    </row>
    <row r="48" spans="1:5" x14ac:dyDescent="0.25">
      <c r="A48" s="3">
        <v>2482.6799999999998</v>
      </c>
      <c r="B48" s="3"/>
      <c r="C48" s="3">
        <v>2536.8843000000002</v>
      </c>
      <c r="D48" s="3">
        <f t="shared" si="2"/>
        <v>2509.78215</v>
      </c>
      <c r="E48" s="3">
        <f t="shared" si="3"/>
        <v>2559.78215</v>
      </c>
    </row>
    <row r="49" spans="1:5" x14ac:dyDescent="0.25">
      <c r="A49" s="3">
        <v>2482.02</v>
      </c>
      <c r="B49" s="3"/>
      <c r="C49" s="3">
        <v>2529.8290000000002</v>
      </c>
      <c r="D49" s="3">
        <f t="shared" si="2"/>
        <v>2505.9245000000001</v>
      </c>
      <c r="E49" s="3">
        <f t="shared" si="3"/>
        <v>2555.9245000000001</v>
      </c>
    </row>
    <row r="50" spans="1:5" x14ac:dyDescent="0.25">
      <c r="A50" s="3">
        <v>2467.38</v>
      </c>
      <c r="B50" s="3"/>
      <c r="C50" s="3">
        <v>2543.9396000000002</v>
      </c>
      <c r="D50" s="3">
        <f t="shared" si="2"/>
        <v>2505.6598000000004</v>
      </c>
      <c r="E50" s="3">
        <f t="shared" si="3"/>
        <v>2555.6598000000004</v>
      </c>
    </row>
    <row r="51" spans="1:5" x14ac:dyDescent="0.25">
      <c r="A51" s="3">
        <v>2442.79</v>
      </c>
      <c r="B51" s="3"/>
      <c r="C51" s="3">
        <v>2531.8447999999999</v>
      </c>
      <c r="D51" s="3">
        <f t="shared" si="2"/>
        <v>2487.3173999999999</v>
      </c>
      <c r="E51" s="3">
        <f t="shared" si="3"/>
        <v>2537.3173999999999</v>
      </c>
    </row>
    <row r="52" spans="1:5" x14ac:dyDescent="0.25">
      <c r="A52" s="3">
        <v>2443.66</v>
      </c>
      <c r="B52" s="3"/>
      <c r="C52" s="3">
        <v>2517.7341999999999</v>
      </c>
      <c r="D52" s="3">
        <f t="shared" si="2"/>
        <v>2480.6970999999999</v>
      </c>
      <c r="E52" s="3">
        <f t="shared" si="3"/>
        <v>2530.6970999999999</v>
      </c>
    </row>
    <row r="53" spans="1:5" x14ac:dyDescent="0.25">
      <c r="A53" s="3">
        <v>2445.27</v>
      </c>
      <c r="B53" s="3"/>
      <c r="C53" s="3">
        <v>2516.7263000000003</v>
      </c>
      <c r="D53" s="3">
        <f t="shared" si="2"/>
        <v>2480.9981500000004</v>
      </c>
      <c r="E53" s="3">
        <f t="shared" si="3"/>
        <v>2530.9981500000004</v>
      </c>
    </row>
    <row r="54" spans="1:5" x14ac:dyDescent="0.25">
      <c r="A54" s="3">
        <v>2468.67</v>
      </c>
      <c r="B54" s="3"/>
      <c r="C54" s="3">
        <v>2542.9317000000001</v>
      </c>
      <c r="D54" s="3">
        <f t="shared" si="2"/>
        <v>2505.8008500000001</v>
      </c>
      <c r="E54" s="3">
        <f t="shared" si="3"/>
        <v>2555.8008500000001</v>
      </c>
    </row>
    <row r="55" spans="1:5" x14ac:dyDescent="0.25">
      <c r="A55" s="3">
        <v>2517.29</v>
      </c>
      <c r="B55" s="3"/>
      <c r="C55" s="3">
        <v>2568.1291999999999</v>
      </c>
      <c r="D55" s="3">
        <f t="shared" si="2"/>
        <v>2542.7096000000001</v>
      </c>
      <c r="E55" s="3">
        <f t="shared" si="3"/>
        <v>2592.7096000000001</v>
      </c>
    </row>
    <row r="56" spans="1:5" x14ac:dyDescent="0.25">
      <c r="A56" s="3">
        <v>2526.6999999999998</v>
      </c>
      <c r="B56" s="3"/>
      <c r="C56" s="3">
        <v>2545.9553999999998</v>
      </c>
      <c r="D56" s="3">
        <f t="shared" si="2"/>
        <v>2536.3276999999998</v>
      </c>
      <c r="E56" s="3">
        <f t="shared" si="3"/>
        <v>2586.3276999999998</v>
      </c>
    </row>
    <row r="57" spans="1:5" x14ac:dyDescent="0.25">
      <c r="A57" s="3">
        <v>2525.42</v>
      </c>
      <c r="B57" s="3"/>
      <c r="C57" s="3">
        <v>2539.9079999999999</v>
      </c>
      <c r="D57" s="3">
        <f t="shared" si="2"/>
        <v>2532.6639999999998</v>
      </c>
      <c r="E57" s="3">
        <f t="shared" si="3"/>
        <v>2582.6639999999998</v>
      </c>
    </row>
    <row r="58" spans="1:5" x14ac:dyDescent="0.25">
      <c r="A58" s="3">
        <v>2497.91</v>
      </c>
      <c r="B58" s="3"/>
      <c r="C58" s="3">
        <v>2555.0264999999999</v>
      </c>
      <c r="D58" s="3">
        <f t="shared" si="2"/>
        <v>2526.4682499999999</v>
      </c>
      <c r="E58" s="3">
        <f t="shared" si="3"/>
        <v>2576.4682499999999</v>
      </c>
    </row>
    <row r="59" spans="1:5" x14ac:dyDescent="0.25">
      <c r="A59" s="3">
        <v>2504.58</v>
      </c>
      <c r="B59" s="3"/>
      <c r="C59" s="3">
        <v>2564.0976000000001</v>
      </c>
      <c r="D59" s="3">
        <f t="shared" si="2"/>
        <v>2534.3388</v>
      </c>
      <c r="E59" s="3">
        <f t="shared" si="3"/>
        <v>2584.3388</v>
      </c>
    </row>
    <row r="60" spans="1:5" x14ac:dyDescent="0.25">
      <c r="A60" s="3">
        <v>2435.7399999999998</v>
      </c>
      <c r="B60" s="3"/>
      <c r="C60" s="3">
        <v>2577.2003</v>
      </c>
      <c r="D60" s="3">
        <f t="shared" si="2"/>
        <v>2506.4701500000001</v>
      </c>
      <c r="E60" s="3">
        <f t="shared" si="3"/>
        <v>2556.4701500000001</v>
      </c>
    </row>
    <row r="61" spans="1:5" x14ac:dyDescent="0.25">
      <c r="A61" s="3">
        <v>2416.11</v>
      </c>
      <c r="B61" s="3"/>
      <c r="C61" s="3">
        <v>2579.2161000000001</v>
      </c>
      <c r="D61" s="3">
        <f t="shared" si="2"/>
        <v>2497.6630500000001</v>
      </c>
      <c r="E61" s="3">
        <f t="shared" si="3"/>
        <v>2547.6630500000001</v>
      </c>
    </row>
    <row r="62" spans="1:5" x14ac:dyDescent="0.25">
      <c r="A62" s="3">
        <v>2422.5300000000002</v>
      </c>
      <c r="B62" s="3"/>
      <c r="C62" s="3">
        <v>2576.1923999999999</v>
      </c>
      <c r="D62" s="3">
        <f t="shared" si="2"/>
        <v>2499.3612000000003</v>
      </c>
      <c r="E62" s="3">
        <f t="shared" si="3"/>
        <v>2549.3612000000003</v>
      </c>
    </row>
    <row r="63" spans="1:5" x14ac:dyDescent="0.25">
      <c r="A63" s="3">
        <v>2413.79</v>
      </c>
      <c r="B63" s="3"/>
      <c r="C63" s="3">
        <v>2567.1213000000002</v>
      </c>
      <c r="D63" s="3">
        <f t="shared" si="2"/>
        <v>2490.4556499999999</v>
      </c>
      <c r="E63" s="3">
        <f t="shared" si="3"/>
        <v>2540.4556499999999</v>
      </c>
    </row>
    <row r="64" spans="1:5" x14ac:dyDescent="0.25">
      <c r="A64" s="3">
        <v>2347.23</v>
      </c>
      <c r="B64" s="3"/>
      <c r="C64" s="3">
        <v>2554.0185999999999</v>
      </c>
      <c r="D64" s="3">
        <f t="shared" si="2"/>
        <v>2450.6242999999999</v>
      </c>
      <c r="E64" s="3">
        <f t="shared" si="3"/>
        <v>2500.6242999999999</v>
      </c>
    </row>
    <row r="65" spans="1:5" x14ac:dyDescent="0.25">
      <c r="A65" s="3">
        <v>2345.23</v>
      </c>
      <c r="B65" s="3"/>
      <c r="C65" s="3">
        <v>2561.0738999999999</v>
      </c>
      <c r="D65" s="3">
        <f t="shared" si="2"/>
        <v>2453.1519499999999</v>
      </c>
      <c r="E65" s="3">
        <f t="shared" si="3"/>
        <v>2503.1519499999999</v>
      </c>
    </row>
    <row r="66" spans="1:5" x14ac:dyDescent="0.25">
      <c r="A66" s="3">
        <v>2293.84</v>
      </c>
      <c r="B66" s="3"/>
      <c r="C66" s="3">
        <v>2527.8132000000001</v>
      </c>
      <c r="D66" s="3">
        <f t="shared" ref="D66:D97" si="4">AVERAGE(A66:C66)</f>
        <v>2410.8266000000003</v>
      </c>
      <c r="E66" s="3">
        <f t="shared" ref="E66:E97" si="5">50+D66</f>
        <v>2460.8266000000003</v>
      </c>
    </row>
    <row r="67" spans="1:5" x14ac:dyDescent="0.25">
      <c r="A67" s="3">
        <v>2276.9</v>
      </c>
      <c r="B67" s="3"/>
      <c r="C67" s="3">
        <v>2523.7816000000003</v>
      </c>
      <c r="D67" s="3">
        <f t="shared" si="4"/>
        <v>2400.3407999999999</v>
      </c>
      <c r="E67" s="3">
        <f t="shared" si="5"/>
        <v>2450.3407999999999</v>
      </c>
    </row>
    <row r="68" spans="1:5" x14ac:dyDescent="0.25">
      <c r="A68" s="3">
        <v>2297.8000000000002</v>
      </c>
      <c r="B68" s="3"/>
      <c r="C68" s="3">
        <v>2505.6394</v>
      </c>
      <c r="D68" s="3">
        <f t="shared" si="4"/>
        <v>2401.7197000000001</v>
      </c>
      <c r="E68" s="3">
        <f t="shared" si="5"/>
        <v>2451.7197000000001</v>
      </c>
    </row>
    <row r="69" spans="1:5" x14ac:dyDescent="0.25">
      <c r="A69" s="3">
        <v>2312.0700000000002</v>
      </c>
      <c r="B69" s="3"/>
      <c r="C69" s="3">
        <v>2474.3944999999999</v>
      </c>
      <c r="D69" s="3">
        <f t="shared" si="4"/>
        <v>2393.23225</v>
      </c>
      <c r="E69" s="3">
        <f t="shared" si="5"/>
        <v>2443.23225</v>
      </c>
    </row>
    <row r="70" spans="1:5" x14ac:dyDescent="0.25">
      <c r="A70" s="3">
        <v>2295.11</v>
      </c>
      <c r="B70" s="3"/>
      <c r="C70" s="3">
        <v>2450.2049000000002</v>
      </c>
      <c r="D70" s="3">
        <f t="shared" si="4"/>
        <v>2372.6574500000002</v>
      </c>
      <c r="E70" s="3">
        <f t="shared" si="5"/>
        <v>2422.6574500000002</v>
      </c>
    </row>
    <row r="71" spans="1:5" x14ac:dyDescent="0.25">
      <c r="A71" s="3">
        <v>2286.41</v>
      </c>
      <c r="B71" s="3"/>
      <c r="C71" s="3">
        <v>2491.5288</v>
      </c>
      <c r="D71" s="3">
        <f t="shared" si="4"/>
        <v>2388.9694</v>
      </c>
      <c r="E71" s="3">
        <f t="shared" si="5"/>
        <v>2438.9694</v>
      </c>
    </row>
    <row r="72" spans="1:5" x14ac:dyDescent="0.25">
      <c r="A72" s="3">
        <v>2345.41</v>
      </c>
      <c r="B72" s="3"/>
      <c r="C72" s="3">
        <v>2509.6709999999998</v>
      </c>
      <c r="D72" s="3">
        <f t="shared" si="4"/>
        <v>2427.5405000000001</v>
      </c>
      <c r="E72" s="3">
        <f t="shared" si="5"/>
        <v>2477.5405000000001</v>
      </c>
    </row>
    <row r="73" spans="1:5" x14ac:dyDescent="0.25">
      <c r="A73" s="3">
        <v>2337.17</v>
      </c>
      <c r="B73" s="3"/>
      <c r="C73" s="3">
        <v>2511.6867999999999</v>
      </c>
      <c r="D73" s="3">
        <f t="shared" si="4"/>
        <v>2424.4283999999998</v>
      </c>
      <c r="E73" s="3">
        <f t="shared" si="5"/>
        <v>2474.4283999999998</v>
      </c>
    </row>
    <row r="74" spans="1:5" x14ac:dyDescent="0.25">
      <c r="A74" s="3">
        <v>2321.75</v>
      </c>
      <c r="B74" s="3"/>
      <c r="C74" s="3">
        <v>2486.4893000000002</v>
      </c>
      <c r="D74" s="3">
        <f t="shared" si="4"/>
        <v>2404.1196500000001</v>
      </c>
      <c r="E74" s="3">
        <f t="shared" si="5"/>
        <v>2454.1196500000001</v>
      </c>
    </row>
    <row r="75" spans="1:5" x14ac:dyDescent="0.25">
      <c r="A75" s="3">
        <v>2301.85</v>
      </c>
      <c r="B75" s="3"/>
      <c r="C75" s="3">
        <v>2455.2444</v>
      </c>
      <c r="D75" s="3">
        <f t="shared" si="4"/>
        <v>2378.5472</v>
      </c>
      <c r="E75" s="3">
        <f t="shared" si="5"/>
        <v>2428.5472</v>
      </c>
    </row>
    <row r="76" spans="1:5" x14ac:dyDescent="0.25">
      <c r="A76" s="3">
        <v>2291.0300000000002</v>
      </c>
      <c r="B76" s="3"/>
      <c r="C76" s="3">
        <v>2437.1022000000003</v>
      </c>
      <c r="D76" s="3">
        <f t="shared" si="4"/>
        <v>2364.0661</v>
      </c>
      <c r="E76" s="3">
        <f t="shared" si="5"/>
        <v>2414.0661</v>
      </c>
    </row>
    <row r="77" spans="1:5" x14ac:dyDescent="0.25">
      <c r="A77" s="3">
        <v>2290.9299999999998</v>
      </c>
      <c r="B77" s="3"/>
      <c r="C77" s="3">
        <v>2440.1259</v>
      </c>
      <c r="D77" s="3">
        <f t="shared" si="4"/>
        <v>2365.5279499999997</v>
      </c>
      <c r="E77" s="3">
        <f t="shared" si="5"/>
        <v>2415.5279499999997</v>
      </c>
    </row>
    <row r="78" spans="1:5" x14ac:dyDescent="0.25">
      <c r="A78" s="3">
        <v>2314.2399999999998</v>
      </c>
      <c r="B78" s="3"/>
      <c r="C78" s="3">
        <v>2493.5446000000002</v>
      </c>
      <c r="D78" s="3">
        <f t="shared" si="4"/>
        <v>2403.8923</v>
      </c>
      <c r="E78" s="3">
        <f t="shared" si="5"/>
        <v>2453.8923</v>
      </c>
    </row>
    <row r="79" spans="1:5" x14ac:dyDescent="0.25">
      <c r="A79" s="3">
        <v>2366.65</v>
      </c>
      <c r="B79" s="3"/>
      <c r="C79" s="3">
        <v>2552.0028000000002</v>
      </c>
      <c r="D79" s="3">
        <f t="shared" si="4"/>
        <v>2459.3263999999999</v>
      </c>
      <c r="E79" s="3">
        <f t="shared" si="5"/>
        <v>2509.3263999999999</v>
      </c>
    </row>
    <row r="80" spans="1:5" x14ac:dyDescent="0.25">
      <c r="A80" s="3">
        <v>2458.77</v>
      </c>
      <c r="B80" s="3"/>
      <c r="C80" s="3">
        <v>2622.5558000000001</v>
      </c>
      <c r="D80" s="3">
        <f t="shared" si="4"/>
        <v>2540.6629000000003</v>
      </c>
      <c r="E80" s="3">
        <f t="shared" si="5"/>
        <v>2590.6629000000003</v>
      </c>
    </row>
    <row r="81" spans="1:5" x14ac:dyDescent="0.25">
      <c r="A81" s="3">
        <v>2557.3200000000002</v>
      </c>
      <c r="B81" s="3"/>
      <c r="C81" s="3">
        <v>2744.5117</v>
      </c>
      <c r="D81" s="3">
        <f t="shared" si="4"/>
        <v>2650.9158500000003</v>
      </c>
      <c r="E81" s="3">
        <f t="shared" si="5"/>
        <v>2700.9158500000003</v>
      </c>
    </row>
    <row r="82" spans="1:5" x14ac:dyDescent="0.25">
      <c r="A82" s="3">
        <v>2595.96</v>
      </c>
      <c r="B82" s="3"/>
      <c r="C82" s="3">
        <v>2822.12</v>
      </c>
      <c r="D82" s="3">
        <f t="shared" si="4"/>
        <v>2709.04</v>
      </c>
      <c r="E82" s="3">
        <f t="shared" si="5"/>
        <v>2759.04</v>
      </c>
    </row>
    <row r="83" spans="1:5" x14ac:dyDescent="0.25">
      <c r="A83" s="3">
        <v>2603.5500000000002</v>
      </c>
      <c r="B83" s="3"/>
      <c r="C83" s="3">
        <v>2848.3254000000002</v>
      </c>
      <c r="D83" s="3">
        <f t="shared" si="4"/>
        <v>2725.9377000000004</v>
      </c>
      <c r="E83" s="3">
        <f t="shared" si="5"/>
        <v>2775.9377000000004</v>
      </c>
    </row>
    <row r="84" spans="1:5" x14ac:dyDescent="0.25">
      <c r="A84" s="3">
        <v>2597.84</v>
      </c>
      <c r="B84" s="3"/>
      <c r="C84" s="3">
        <v>2825.1437000000001</v>
      </c>
      <c r="D84" s="3">
        <f t="shared" si="4"/>
        <v>2711.4918500000003</v>
      </c>
      <c r="E84" s="3">
        <f t="shared" si="5"/>
        <v>2761.4918500000003</v>
      </c>
    </row>
    <row r="85" spans="1:5" x14ac:dyDescent="0.25">
      <c r="A85" s="3">
        <v>2597.7600000000002</v>
      </c>
      <c r="B85" s="3"/>
      <c r="C85" s="3">
        <v>2805.9936000000002</v>
      </c>
      <c r="D85" s="3">
        <f t="shared" si="4"/>
        <v>2701.8768</v>
      </c>
      <c r="E85" s="3">
        <f t="shared" si="5"/>
        <v>2751.8768</v>
      </c>
    </row>
    <row r="86" spans="1:5" x14ac:dyDescent="0.25">
      <c r="A86" s="3">
        <v>2586.14</v>
      </c>
      <c r="B86" s="3"/>
      <c r="C86" s="3">
        <v>2801.962</v>
      </c>
      <c r="D86" s="3">
        <f t="shared" si="4"/>
        <v>2694.0509999999999</v>
      </c>
      <c r="E86" s="3">
        <f t="shared" si="5"/>
        <v>2744.0509999999999</v>
      </c>
    </row>
    <row r="87" spans="1:5" x14ac:dyDescent="0.25">
      <c r="A87" s="3">
        <v>2574.15</v>
      </c>
      <c r="B87" s="3"/>
      <c r="C87" s="3">
        <v>2781.8040000000001</v>
      </c>
      <c r="D87" s="3">
        <f t="shared" si="4"/>
        <v>2677.9769999999999</v>
      </c>
      <c r="E87" s="3">
        <f t="shared" si="5"/>
        <v>2727.9769999999999</v>
      </c>
    </row>
    <row r="88" spans="1:5" x14ac:dyDescent="0.25">
      <c r="A88" s="3">
        <v>2557.2800000000002</v>
      </c>
      <c r="B88" s="3"/>
      <c r="C88" s="3">
        <v>2761.6460000000002</v>
      </c>
      <c r="D88" s="3">
        <f t="shared" si="4"/>
        <v>2659.4630000000002</v>
      </c>
      <c r="E88" s="3">
        <f t="shared" si="5"/>
        <v>2709.4630000000002</v>
      </c>
    </row>
    <row r="89" spans="1:5" x14ac:dyDescent="0.25">
      <c r="A89" s="3">
        <v>2561.35</v>
      </c>
      <c r="B89" s="3"/>
      <c r="C89" s="3">
        <v>2794.9067</v>
      </c>
      <c r="D89" s="3">
        <f t="shared" si="4"/>
        <v>2678.12835</v>
      </c>
      <c r="E89" s="3">
        <f t="shared" si="5"/>
        <v>2728.12835</v>
      </c>
    </row>
    <row r="90" spans="1:5" x14ac:dyDescent="0.25">
      <c r="A90" s="3">
        <v>2565.21</v>
      </c>
      <c r="B90" s="3"/>
      <c r="C90" s="3">
        <v>2809.0173</v>
      </c>
      <c r="D90" s="3">
        <f t="shared" si="4"/>
        <v>2687.1136500000002</v>
      </c>
      <c r="E90" s="3">
        <f t="shared" si="5"/>
        <v>2737.1136500000002</v>
      </c>
    </row>
    <row r="91" spans="1:5" x14ac:dyDescent="0.25">
      <c r="A91" s="3">
        <v>2583.69</v>
      </c>
      <c r="B91" s="3"/>
      <c r="C91" s="3">
        <v>2801.962</v>
      </c>
      <c r="D91" s="3">
        <f t="shared" si="4"/>
        <v>2692.826</v>
      </c>
      <c r="E91" s="3">
        <f t="shared" si="5"/>
        <v>2742.826</v>
      </c>
    </row>
    <row r="92" spans="1:5" x14ac:dyDescent="0.25">
      <c r="A92" s="3">
        <v>2630.87</v>
      </c>
      <c r="B92" s="3"/>
      <c r="C92" s="3">
        <v>2831.1911</v>
      </c>
      <c r="D92" s="3">
        <f t="shared" si="4"/>
        <v>2731.0305499999999</v>
      </c>
      <c r="E92" s="3">
        <f t="shared" si="5"/>
        <v>2781.0305499999999</v>
      </c>
    </row>
    <row r="93" spans="1:5" x14ac:dyDescent="0.25">
      <c r="A93" s="3">
        <v>2640.57</v>
      </c>
      <c r="B93" s="3"/>
      <c r="C93" s="3">
        <v>2871.5071000000003</v>
      </c>
      <c r="D93" s="3">
        <f t="shared" si="4"/>
        <v>2756.0385500000002</v>
      </c>
      <c r="E93" s="3">
        <f t="shared" si="5"/>
        <v>2806.0385500000002</v>
      </c>
    </row>
    <row r="94" spans="1:5" x14ac:dyDescent="0.25">
      <c r="A94" s="3">
        <v>2676.39</v>
      </c>
      <c r="B94" s="3"/>
      <c r="C94" s="3">
        <v>2903.7599</v>
      </c>
      <c r="D94" s="3">
        <f t="shared" si="4"/>
        <v>2790.0749500000002</v>
      </c>
      <c r="E94" s="3">
        <f t="shared" si="5"/>
        <v>2840.0749500000002</v>
      </c>
    </row>
    <row r="95" spans="1:5" x14ac:dyDescent="0.25">
      <c r="A95" s="3">
        <v>2672.55</v>
      </c>
      <c r="B95" s="3"/>
      <c r="C95" s="3">
        <v>2888.6414</v>
      </c>
      <c r="D95" s="3">
        <f t="shared" si="4"/>
        <v>2780.5956999999999</v>
      </c>
      <c r="E95" s="3">
        <f t="shared" si="5"/>
        <v>2830.5956999999999</v>
      </c>
    </row>
    <row r="96" spans="1:5" x14ac:dyDescent="0.25">
      <c r="A96" s="3">
        <v>2669.91</v>
      </c>
      <c r="B96" s="3"/>
      <c r="C96" s="3">
        <v>2871.5071000000003</v>
      </c>
      <c r="D96" s="3">
        <f t="shared" si="4"/>
        <v>2770.7085500000003</v>
      </c>
      <c r="E96" s="3">
        <f t="shared" si="5"/>
        <v>2820.7085500000003</v>
      </c>
    </row>
    <row r="97" spans="1:5" x14ac:dyDescent="0.25">
      <c r="A97" s="3">
        <v>2648.54</v>
      </c>
      <c r="B97" s="3"/>
      <c r="C97" s="3">
        <v>2874.5308</v>
      </c>
      <c r="D97" s="3">
        <f t="shared" si="4"/>
        <v>2761.5353999999998</v>
      </c>
      <c r="E97" s="3">
        <f t="shared" si="5"/>
        <v>2811.5353999999998</v>
      </c>
    </row>
    <row r="98" spans="1:5" ht="15.75" x14ac:dyDescent="0.25">
      <c r="A98" s="21">
        <f>AVERAGE(A2:A97)*0.24</f>
        <v>608.36374999999998</v>
      </c>
      <c r="B98" s="21">
        <f>AVERAGE(B2:B97)*0.24</f>
        <v>628.19549090909084</v>
      </c>
      <c r="C98" s="21">
        <f>AVERAGE(C2:C97)*0.24</f>
        <v>631.95381633499983</v>
      </c>
      <c r="D98" s="21">
        <f>AVERAGE(D2:D97)*0.24</f>
        <v>619.53411677833333</v>
      </c>
      <c r="E98" s="21">
        <f>AVERAGE(E2:E97)*0.24</f>
        <v>631.53411677833333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258"/>
  <sheetViews>
    <sheetView topLeftCell="A136" workbookViewId="0">
      <selection activeCell="F165" sqref="F165"/>
    </sheetView>
  </sheetViews>
  <sheetFormatPr defaultRowHeight="15" x14ac:dyDescent="0.25"/>
  <cols>
    <col min="5" max="5" width="25.42578125" customWidth="1"/>
    <col min="6" max="6" width="27.42578125" customWidth="1"/>
    <col min="7" max="7" width="15.5703125" customWidth="1"/>
  </cols>
  <sheetData>
    <row r="7" spans="4:9" ht="30" x14ac:dyDescent="0.35">
      <c r="E7" s="27" t="s">
        <v>19</v>
      </c>
    </row>
    <row r="8" spans="4:9" ht="18.75" customHeight="1" x14ac:dyDescent="0.25">
      <c r="D8" s="32"/>
      <c r="E8" s="33" t="s">
        <v>20</v>
      </c>
      <c r="F8" s="33" t="s">
        <v>21</v>
      </c>
      <c r="G8" s="33" t="s">
        <v>22</v>
      </c>
      <c r="H8" s="33" t="s">
        <v>23</v>
      </c>
      <c r="I8" s="33" t="s">
        <v>24</v>
      </c>
    </row>
    <row r="9" spans="4:9" ht="18.75" customHeight="1" x14ac:dyDescent="0.25">
      <c r="D9" s="32"/>
      <c r="E9" s="34" t="s">
        <v>25</v>
      </c>
      <c r="F9" s="34" t="s">
        <v>26</v>
      </c>
      <c r="G9" s="35">
        <v>43993</v>
      </c>
      <c r="H9" s="36">
        <v>0.73417824074074067</v>
      </c>
      <c r="I9" s="34">
        <v>1.3726</v>
      </c>
    </row>
    <row r="10" spans="4:9" ht="18.75" customHeight="1" x14ac:dyDescent="0.25">
      <c r="D10" s="32"/>
      <c r="E10" s="34" t="s">
        <v>25</v>
      </c>
      <c r="F10" s="34" t="s">
        <v>27</v>
      </c>
      <c r="G10" s="35">
        <v>43993</v>
      </c>
      <c r="H10" s="36">
        <v>0.73418981481481482</v>
      </c>
      <c r="I10" s="34">
        <v>1.8428</v>
      </c>
    </row>
    <row r="11" spans="4:9" ht="18.75" customHeight="1" x14ac:dyDescent="0.25">
      <c r="D11" s="32"/>
      <c r="E11" s="34" t="s">
        <v>25</v>
      </c>
      <c r="F11" s="34" t="s">
        <v>28</v>
      </c>
      <c r="G11" s="35">
        <v>43993</v>
      </c>
      <c r="H11" s="36">
        <v>0.73420138888888886</v>
      </c>
      <c r="I11" s="34">
        <v>1.1283000000000001</v>
      </c>
    </row>
    <row r="12" spans="4:9" ht="18.75" customHeight="1" x14ac:dyDescent="0.25">
      <c r="D12" s="32"/>
      <c r="E12" s="34" t="s">
        <v>25</v>
      </c>
      <c r="F12" s="34" t="s">
        <v>29</v>
      </c>
      <c r="G12" s="35">
        <v>43993</v>
      </c>
      <c r="H12" s="36">
        <v>0.73421296296296301</v>
      </c>
      <c r="I12" s="34">
        <v>1.7195</v>
      </c>
    </row>
    <row r="13" spans="4:9" ht="18.75" customHeight="1" x14ac:dyDescent="0.25">
      <c r="D13" s="32"/>
      <c r="E13" s="34" t="s">
        <v>31</v>
      </c>
      <c r="F13" s="34" t="s">
        <v>32</v>
      </c>
      <c r="G13" s="35">
        <v>43993</v>
      </c>
      <c r="H13" s="36">
        <v>0.72861111111111121</v>
      </c>
      <c r="I13" s="34">
        <v>0.50800000000000001</v>
      </c>
    </row>
    <row r="14" spans="4:9" ht="18.75" customHeight="1" x14ac:dyDescent="0.25">
      <c r="D14" s="32"/>
      <c r="E14" s="34" t="s">
        <v>25</v>
      </c>
      <c r="F14" s="34" t="s">
        <v>33</v>
      </c>
      <c r="G14" s="35">
        <v>43993</v>
      </c>
      <c r="H14" s="36">
        <v>0.73423611111111109</v>
      </c>
      <c r="I14" s="34">
        <v>0.29349999999999998</v>
      </c>
    </row>
    <row r="15" spans="4:9" ht="18.75" customHeight="1" x14ac:dyDescent="0.25">
      <c r="D15" s="32"/>
      <c r="E15" s="34" t="s">
        <v>25</v>
      </c>
      <c r="F15" s="34" t="s">
        <v>34</v>
      </c>
      <c r="G15" s="35">
        <v>43993</v>
      </c>
      <c r="H15" s="36">
        <v>0.73424768518518524</v>
      </c>
      <c r="I15" s="34">
        <v>1.0880000000000001</v>
      </c>
    </row>
    <row r="16" spans="4:9" ht="18.75" customHeight="1" x14ac:dyDescent="0.25">
      <c r="D16" s="32"/>
      <c r="E16" s="34" t="s">
        <v>25</v>
      </c>
      <c r="F16" s="34" t="s">
        <v>35</v>
      </c>
      <c r="G16" s="35">
        <v>43993</v>
      </c>
      <c r="H16" s="36">
        <v>0.73425925925925928</v>
      </c>
      <c r="I16" s="34">
        <v>5.2960000000000003</v>
      </c>
    </row>
    <row r="17" spans="4:9" ht="18.75" customHeight="1" x14ac:dyDescent="0.25">
      <c r="D17" s="32"/>
      <c r="E17" s="34" t="s">
        <v>25</v>
      </c>
      <c r="F17" s="34" t="s">
        <v>36</v>
      </c>
      <c r="G17" s="35">
        <v>43993</v>
      </c>
      <c r="H17" s="36">
        <v>0.73427083333333332</v>
      </c>
      <c r="I17" s="34">
        <v>5.98</v>
      </c>
    </row>
    <row r="18" spans="4:9" ht="18.75" customHeight="1" x14ac:dyDescent="0.25">
      <c r="D18" s="32"/>
      <c r="E18" s="34" t="s">
        <v>37</v>
      </c>
      <c r="F18" s="34" t="s">
        <v>38</v>
      </c>
      <c r="G18" s="35">
        <v>43993</v>
      </c>
      <c r="H18" s="36">
        <v>0.58347222222222228</v>
      </c>
      <c r="I18" s="34">
        <v>0.75360000000000005</v>
      </c>
    </row>
    <row r="19" spans="4:9" ht="18.75" customHeight="1" x14ac:dyDescent="0.25">
      <c r="D19" s="32"/>
      <c r="E19" s="34" t="s">
        <v>25</v>
      </c>
      <c r="F19" s="34" t="s">
        <v>39</v>
      </c>
      <c r="G19" s="35">
        <v>43993</v>
      </c>
      <c r="H19" s="36">
        <v>0.73428240740740736</v>
      </c>
      <c r="I19" s="34">
        <v>2.3085</v>
      </c>
    </row>
    <row r="20" spans="4:9" ht="18.75" customHeight="1" x14ac:dyDescent="0.25">
      <c r="D20" s="32"/>
      <c r="E20" s="34" t="s">
        <v>41</v>
      </c>
      <c r="F20" s="34" t="s">
        <v>42</v>
      </c>
      <c r="G20" s="35">
        <v>43993</v>
      </c>
      <c r="H20" s="36">
        <v>0.69395833333333334</v>
      </c>
      <c r="I20" s="34">
        <v>1.3202</v>
      </c>
    </row>
    <row r="21" spans="4:9" ht="18.75" customHeight="1" x14ac:dyDescent="0.25">
      <c r="D21" s="32"/>
      <c r="E21" s="34" t="s">
        <v>43</v>
      </c>
      <c r="F21" s="34" t="s">
        <v>44</v>
      </c>
      <c r="G21" s="35">
        <v>43993</v>
      </c>
      <c r="H21" s="36">
        <v>0.71271990740740743</v>
      </c>
      <c r="I21" s="34">
        <v>6.0960000000000001</v>
      </c>
    </row>
    <row r="22" spans="4:9" ht="18.75" customHeight="1" x14ac:dyDescent="0.25">
      <c r="D22" s="32"/>
      <c r="E22" s="34" t="s">
        <v>43</v>
      </c>
      <c r="F22" s="34" t="s">
        <v>45</v>
      </c>
      <c r="G22" s="35">
        <v>43993</v>
      </c>
      <c r="H22" s="36">
        <v>0.7286689814814814</v>
      </c>
      <c r="I22" s="34">
        <v>0.28129999999999999</v>
      </c>
    </row>
    <row r="23" spans="4:9" ht="18.75" customHeight="1" x14ac:dyDescent="0.25">
      <c r="D23" s="32"/>
      <c r="E23" s="34" t="s">
        <v>46</v>
      </c>
      <c r="F23" s="34" t="s">
        <v>47</v>
      </c>
      <c r="G23" s="35">
        <v>43993</v>
      </c>
      <c r="H23" s="36">
        <v>0.69805555555555554</v>
      </c>
      <c r="I23" s="34">
        <v>1.3329</v>
      </c>
    </row>
    <row r="24" spans="4:9" ht="18.75" customHeight="1" x14ac:dyDescent="0.25">
      <c r="D24" s="32"/>
      <c r="E24" s="34" t="s">
        <v>48</v>
      </c>
      <c r="F24" s="34" t="s">
        <v>49</v>
      </c>
      <c r="G24" s="35">
        <v>43993</v>
      </c>
      <c r="H24" s="36">
        <v>0.51627314814814818</v>
      </c>
      <c r="I24" s="34">
        <v>2.6000999999999999</v>
      </c>
    </row>
    <row r="25" spans="4:9" ht="18.75" customHeight="1" x14ac:dyDescent="0.25">
      <c r="D25" s="32"/>
      <c r="E25" s="34" t="s">
        <v>48</v>
      </c>
      <c r="F25" s="34" t="s">
        <v>50</v>
      </c>
      <c r="G25" s="35">
        <v>43993</v>
      </c>
      <c r="H25" s="36">
        <v>0.51628472222222221</v>
      </c>
      <c r="I25" s="34">
        <v>2.5146000000000002</v>
      </c>
    </row>
    <row r="26" spans="4:9" ht="18.75" customHeight="1" x14ac:dyDescent="0.25">
      <c r="D26" s="32"/>
      <c r="E26" s="34" t="s">
        <v>40</v>
      </c>
      <c r="F26" s="34" t="s">
        <v>51</v>
      </c>
      <c r="G26" s="35">
        <v>43993</v>
      </c>
      <c r="H26" s="36">
        <v>0.69810185185185192</v>
      </c>
      <c r="I26" s="34">
        <v>0.35199999999999998</v>
      </c>
    </row>
    <row r="27" spans="4:9" ht="18.75" customHeight="1" x14ac:dyDescent="0.25">
      <c r="D27" s="32"/>
      <c r="E27" s="34" t="s">
        <v>25</v>
      </c>
      <c r="F27" s="34" t="s">
        <v>54</v>
      </c>
      <c r="G27" s="35">
        <v>43993</v>
      </c>
      <c r="H27" s="36">
        <v>0.73429398148148151</v>
      </c>
      <c r="I27" s="34">
        <v>0.33439999999999998</v>
      </c>
    </row>
    <row r="28" spans="4:9" ht="18.75" customHeight="1" x14ac:dyDescent="0.25">
      <c r="D28" s="32"/>
      <c r="E28" s="34" t="s">
        <v>55</v>
      </c>
      <c r="F28" s="34" t="s">
        <v>56</v>
      </c>
      <c r="G28" s="35">
        <v>43993</v>
      </c>
      <c r="H28" s="36">
        <v>0.70500000000000007</v>
      </c>
      <c r="I28" s="34">
        <v>1.452</v>
      </c>
    </row>
    <row r="30" spans="4:9" ht="15.75" thickBot="1" x14ac:dyDescent="0.3"/>
    <row r="31" spans="4:9" ht="15.75" thickBot="1" x14ac:dyDescent="0.3">
      <c r="E31" s="70" t="s">
        <v>57</v>
      </c>
      <c r="F31" s="71"/>
      <c r="G31" s="71"/>
      <c r="H31" s="71"/>
      <c r="I31" s="72"/>
    </row>
    <row r="32" spans="4:9" ht="25.5" x14ac:dyDescent="0.25">
      <c r="E32" s="33" t="s">
        <v>20</v>
      </c>
      <c r="F32" s="33" t="s">
        <v>21</v>
      </c>
      <c r="G32" s="33" t="s">
        <v>22</v>
      </c>
      <c r="H32" s="33" t="s">
        <v>23</v>
      </c>
      <c r="I32" s="33" t="s">
        <v>24</v>
      </c>
    </row>
    <row r="33" spans="5:9" x14ac:dyDescent="0.25">
      <c r="E33" s="34" t="s">
        <v>25</v>
      </c>
      <c r="F33" s="34" t="s">
        <v>26</v>
      </c>
      <c r="G33" s="35">
        <v>43993</v>
      </c>
      <c r="H33" s="36">
        <v>0.73417824074074067</v>
      </c>
      <c r="I33" s="34">
        <v>1.3726</v>
      </c>
    </row>
    <row r="34" spans="5:9" x14ac:dyDescent="0.25">
      <c r="E34" s="34" t="s">
        <v>25</v>
      </c>
      <c r="F34" s="34" t="s">
        <v>27</v>
      </c>
      <c r="G34" s="35">
        <v>43993</v>
      </c>
      <c r="H34" s="36">
        <v>0.73418981481481482</v>
      </c>
      <c r="I34" s="34">
        <v>1.8428</v>
      </c>
    </row>
    <row r="35" spans="5:9" x14ac:dyDescent="0.25">
      <c r="E35" s="34" t="s">
        <v>25</v>
      </c>
      <c r="F35" s="34" t="s">
        <v>28</v>
      </c>
      <c r="G35" s="35">
        <v>43993</v>
      </c>
      <c r="H35" s="36">
        <v>0.73420138888888886</v>
      </c>
      <c r="I35" s="34">
        <v>1.1283000000000001</v>
      </c>
    </row>
    <row r="36" spans="5:9" x14ac:dyDescent="0.25">
      <c r="E36" s="34" t="s">
        <v>25</v>
      </c>
      <c r="F36" s="34" t="s">
        <v>29</v>
      </c>
      <c r="G36" s="35">
        <v>43993</v>
      </c>
      <c r="H36" s="36">
        <v>0.73421296296296301</v>
      </c>
      <c r="I36" s="34">
        <v>1.7195</v>
      </c>
    </row>
    <row r="37" spans="5:9" x14ac:dyDescent="0.25">
      <c r="E37" s="34" t="s">
        <v>31</v>
      </c>
      <c r="F37" s="34" t="s">
        <v>32</v>
      </c>
      <c r="G37" s="35">
        <v>43993</v>
      </c>
      <c r="H37" s="36">
        <v>0.72861111111111121</v>
      </c>
      <c r="I37" s="34">
        <v>0.50800000000000001</v>
      </c>
    </row>
    <row r="38" spans="5:9" x14ac:dyDescent="0.25">
      <c r="E38" s="34" t="s">
        <v>25</v>
      </c>
      <c r="F38" s="34" t="s">
        <v>33</v>
      </c>
      <c r="G38" s="35">
        <v>43993</v>
      </c>
      <c r="H38" s="36">
        <v>0.73423611111111109</v>
      </c>
      <c r="I38" s="34">
        <v>0.29349999999999998</v>
      </c>
    </row>
    <row r="39" spans="5:9" x14ac:dyDescent="0.25">
      <c r="E39" s="34" t="s">
        <v>25</v>
      </c>
      <c r="F39" s="34" t="s">
        <v>34</v>
      </c>
      <c r="G39" s="35">
        <v>43993</v>
      </c>
      <c r="H39" s="36">
        <v>0.73424768518518524</v>
      </c>
      <c r="I39" s="34">
        <v>1.0880000000000001</v>
      </c>
    </row>
    <row r="40" spans="5:9" x14ac:dyDescent="0.25">
      <c r="E40" s="34" t="s">
        <v>25</v>
      </c>
      <c r="F40" s="34" t="s">
        <v>35</v>
      </c>
      <c r="G40" s="35">
        <v>43993</v>
      </c>
      <c r="H40" s="36">
        <v>0.73425925925925928</v>
      </c>
      <c r="I40" s="34">
        <v>5.2960000000000003</v>
      </c>
    </row>
    <row r="41" spans="5:9" x14ac:dyDescent="0.25">
      <c r="E41" s="34" t="s">
        <v>25</v>
      </c>
      <c r="F41" s="34" t="s">
        <v>36</v>
      </c>
      <c r="G41" s="35">
        <v>43993</v>
      </c>
      <c r="H41" s="36">
        <v>0.73427083333333332</v>
      </c>
      <c r="I41" s="34">
        <v>5.98</v>
      </c>
    </row>
    <row r="42" spans="5:9" x14ac:dyDescent="0.25">
      <c r="E42" s="34" t="s">
        <v>37</v>
      </c>
      <c r="F42" s="34" t="s">
        <v>38</v>
      </c>
      <c r="G42" s="35">
        <v>43993</v>
      </c>
      <c r="H42" s="36">
        <v>0.58347222222222228</v>
      </c>
      <c r="I42" s="34">
        <v>0.75360000000000005</v>
      </c>
    </row>
    <row r="43" spans="5:9" x14ac:dyDescent="0.25">
      <c r="E43" s="34" t="s">
        <v>25</v>
      </c>
      <c r="F43" s="34" t="s">
        <v>39</v>
      </c>
      <c r="G43" s="35">
        <v>43993</v>
      </c>
      <c r="H43" s="36">
        <v>0.73428240740740736</v>
      </c>
      <c r="I43" s="34">
        <v>2.3085</v>
      </c>
    </row>
    <row r="44" spans="5:9" x14ac:dyDescent="0.25">
      <c r="E44" s="34" t="s">
        <v>41</v>
      </c>
      <c r="F44" s="34" t="s">
        <v>42</v>
      </c>
      <c r="G44" s="35">
        <v>43993</v>
      </c>
      <c r="H44" s="36">
        <v>0.69395833333333334</v>
      </c>
      <c r="I44" s="34">
        <v>1.3202</v>
      </c>
    </row>
    <row r="45" spans="5:9" x14ac:dyDescent="0.25">
      <c r="E45" s="34" t="s">
        <v>43</v>
      </c>
      <c r="F45" s="34" t="s">
        <v>44</v>
      </c>
      <c r="G45" s="35">
        <v>43993</v>
      </c>
      <c r="H45" s="36">
        <v>0.71271990740740743</v>
      </c>
      <c r="I45" s="34">
        <v>6.0960000000000001</v>
      </c>
    </row>
    <row r="46" spans="5:9" x14ac:dyDescent="0.25">
      <c r="E46" s="34" t="s">
        <v>43</v>
      </c>
      <c r="F46" s="34" t="s">
        <v>45</v>
      </c>
      <c r="G46" s="35">
        <v>43993</v>
      </c>
      <c r="H46" s="36">
        <v>0.7286689814814814</v>
      </c>
      <c r="I46" s="34">
        <v>0.28129999999999999</v>
      </c>
    </row>
    <row r="47" spans="5:9" x14ac:dyDescent="0.25">
      <c r="E47" s="34" t="s">
        <v>46</v>
      </c>
      <c r="F47" s="34" t="s">
        <v>47</v>
      </c>
      <c r="G47" s="35">
        <v>43993</v>
      </c>
      <c r="H47" s="36">
        <v>0.69805555555555554</v>
      </c>
      <c r="I47" s="34">
        <v>1.3329</v>
      </c>
    </row>
    <row r="48" spans="5:9" x14ac:dyDescent="0.25">
      <c r="E48" s="34" t="s">
        <v>48</v>
      </c>
      <c r="F48" s="34" t="s">
        <v>49</v>
      </c>
      <c r="G48" s="35">
        <v>43993</v>
      </c>
      <c r="H48" s="36">
        <v>0.51627314814814818</v>
      </c>
      <c r="I48" s="34">
        <v>2.6000999999999999</v>
      </c>
    </row>
    <row r="49" spans="5:12" x14ac:dyDescent="0.25">
      <c r="E49" s="34" t="s">
        <v>48</v>
      </c>
      <c r="F49" s="34" t="s">
        <v>50</v>
      </c>
      <c r="G49" s="35">
        <v>43993</v>
      </c>
      <c r="H49" s="36">
        <v>0.51628472222222221</v>
      </c>
      <c r="I49" s="34">
        <v>2.5146000000000002</v>
      </c>
    </row>
    <row r="50" spans="5:12" x14ac:dyDescent="0.25">
      <c r="E50" s="34" t="s">
        <v>40</v>
      </c>
      <c r="F50" s="34" t="s">
        <v>51</v>
      </c>
      <c r="G50" s="35">
        <v>43993</v>
      </c>
      <c r="H50" s="36">
        <v>0.69810185185185192</v>
      </c>
      <c r="I50" s="34">
        <v>0.35199999999999998</v>
      </c>
    </row>
    <row r="51" spans="5:12" x14ac:dyDescent="0.25">
      <c r="E51" s="34" t="s">
        <v>25</v>
      </c>
      <c r="F51" s="34" t="s">
        <v>54</v>
      </c>
      <c r="G51" s="35">
        <v>43993</v>
      </c>
      <c r="H51" s="36">
        <v>0.73429398148148151</v>
      </c>
      <c r="I51" s="34">
        <v>0.33439999999999998</v>
      </c>
    </row>
    <row r="52" spans="5:12" x14ac:dyDescent="0.25">
      <c r="E52" s="34" t="s">
        <v>55</v>
      </c>
      <c r="F52" s="34" t="s">
        <v>56</v>
      </c>
      <c r="G52" s="35">
        <v>43993</v>
      </c>
      <c r="H52" s="36">
        <v>0.70500000000000007</v>
      </c>
      <c r="I52" s="34">
        <v>1.452</v>
      </c>
    </row>
    <row r="54" spans="5:12" x14ac:dyDescent="0.25">
      <c r="E54" s="73" t="s">
        <v>58</v>
      </c>
      <c r="F54" s="73"/>
      <c r="G54" s="73"/>
      <c r="H54" s="73"/>
      <c r="I54" s="73"/>
    </row>
    <row r="58" spans="5:12" ht="15.75" thickBot="1" x14ac:dyDescent="0.3">
      <c r="L58" t="s">
        <v>59</v>
      </c>
    </row>
    <row r="59" spans="5:12" ht="15.75" thickBot="1" x14ac:dyDescent="0.3">
      <c r="E59" s="70" t="s">
        <v>57</v>
      </c>
      <c r="F59" s="71"/>
      <c r="G59" s="71"/>
      <c r="H59" s="71"/>
      <c r="I59" s="72"/>
    </row>
    <row r="60" spans="5:12" ht="25.5" x14ac:dyDescent="0.25">
      <c r="E60" s="33" t="s">
        <v>20</v>
      </c>
      <c r="F60" s="33" t="s">
        <v>21</v>
      </c>
      <c r="G60" s="33" t="s">
        <v>22</v>
      </c>
      <c r="H60" s="33" t="s">
        <v>23</v>
      </c>
      <c r="I60" s="33" t="s">
        <v>24</v>
      </c>
    </row>
    <row r="61" spans="5:12" x14ac:dyDescent="0.25">
      <c r="E61" s="34" t="s">
        <v>25</v>
      </c>
      <c r="F61" s="34" t="s">
        <v>26</v>
      </c>
      <c r="G61" s="35">
        <v>43993</v>
      </c>
      <c r="H61" s="36">
        <v>0.73417824074074067</v>
      </c>
      <c r="I61" s="34">
        <v>1.3726</v>
      </c>
    </row>
    <row r="62" spans="5:12" x14ac:dyDescent="0.25">
      <c r="E62" s="34" t="s">
        <v>25</v>
      </c>
      <c r="F62" s="34" t="s">
        <v>27</v>
      </c>
      <c r="G62" s="35">
        <v>43993</v>
      </c>
      <c r="H62" s="36">
        <v>0.73418981481481482</v>
      </c>
      <c r="I62" s="34">
        <v>1.8428</v>
      </c>
    </row>
    <row r="63" spans="5:12" x14ac:dyDescent="0.25">
      <c r="E63" s="34" t="s">
        <v>25</v>
      </c>
      <c r="F63" s="34" t="s">
        <v>28</v>
      </c>
      <c r="G63" s="35">
        <v>43993</v>
      </c>
      <c r="H63" s="36">
        <v>0.73420138888888886</v>
      </c>
      <c r="I63" s="34">
        <v>1.1283000000000001</v>
      </c>
    </row>
    <row r="64" spans="5:12" x14ac:dyDescent="0.25">
      <c r="E64" s="34" t="s">
        <v>25</v>
      </c>
      <c r="F64" s="34" t="s">
        <v>29</v>
      </c>
      <c r="G64" s="35">
        <v>43993</v>
      </c>
      <c r="H64" s="36">
        <v>0.73421296296296301</v>
      </c>
      <c r="I64" s="34">
        <v>1.7195</v>
      </c>
    </row>
    <row r="65" spans="5:9" x14ac:dyDescent="0.25">
      <c r="E65" s="34" t="s">
        <v>31</v>
      </c>
      <c r="F65" s="34" t="s">
        <v>32</v>
      </c>
      <c r="G65" s="35">
        <v>43993</v>
      </c>
      <c r="H65" s="36">
        <v>0.72861111111111121</v>
      </c>
      <c r="I65" s="34">
        <v>0.50800000000000001</v>
      </c>
    </row>
    <row r="66" spans="5:9" x14ac:dyDescent="0.25">
      <c r="E66" s="34" t="s">
        <v>25</v>
      </c>
      <c r="F66" s="34" t="s">
        <v>33</v>
      </c>
      <c r="G66" s="35">
        <v>43993</v>
      </c>
      <c r="H66" s="36">
        <v>0.73423611111111109</v>
      </c>
      <c r="I66" s="34">
        <v>0.29349999999999998</v>
      </c>
    </row>
    <row r="67" spans="5:9" x14ac:dyDescent="0.25">
      <c r="E67" s="34" t="s">
        <v>25</v>
      </c>
      <c r="F67" s="34" t="s">
        <v>34</v>
      </c>
      <c r="G67" s="35">
        <v>43993</v>
      </c>
      <c r="H67" s="36">
        <v>0.73424768518518524</v>
      </c>
      <c r="I67" s="34">
        <v>1.0880000000000001</v>
      </c>
    </row>
    <row r="68" spans="5:9" x14ac:dyDescent="0.25">
      <c r="E68" s="34" t="s">
        <v>25</v>
      </c>
      <c r="F68" s="34" t="s">
        <v>35</v>
      </c>
      <c r="G68" s="35">
        <v>43993</v>
      </c>
      <c r="H68" s="36">
        <v>0.73425925925925928</v>
      </c>
      <c r="I68" s="34">
        <v>5.2960000000000003</v>
      </c>
    </row>
    <row r="69" spans="5:9" x14ac:dyDescent="0.25">
      <c r="E69" s="34" t="s">
        <v>25</v>
      </c>
      <c r="F69" s="34" t="s">
        <v>36</v>
      </c>
      <c r="G69" s="35">
        <v>43993</v>
      </c>
      <c r="H69" s="36">
        <v>0.73427083333333332</v>
      </c>
      <c r="I69" s="34">
        <v>5.98</v>
      </c>
    </row>
    <row r="70" spans="5:9" x14ac:dyDescent="0.25">
      <c r="E70" s="34" t="s">
        <v>37</v>
      </c>
      <c r="F70" s="34" t="s">
        <v>38</v>
      </c>
      <c r="G70" s="35">
        <v>43993</v>
      </c>
      <c r="H70" s="36">
        <v>0.58347222222222228</v>
      </c>
      <c r="I70" s="34">
        <v>0.75360000000000005</v>
      </c>
    </row>
    <row r="71" spans="5:9" x14ac:dyDescent="0.25">
      <c r="E71" s="34" t="s">
        <v>25</v>
      </c>
      <c r="F71" s="34" t="s">
        <v>39</v>
      </c>
      <c r="G71" s="35">
        <v>43993</v>
      </c>
      <c r="H71" s="36">
        <v>0.73428240740740736</v>
      </c>
      <c r="I71" s="34">
        <v>2.3085</v>
      </c>
    </row>
    <row r="72" spans="5:9" x14ac:dyDescent="0.25">
      <c r="E72" s="34" t="s">
        <v>41</v>
      </c>
      <c r="F72" s="34" t="s">
        <v>42</v>
      </c>
      <c r="G72" s="35">
        <v>43993</v>
      </c>
      <c r="H72" s="36">
        <v>0.69395833333333334</v>
      </c>
      <c r="I72" s="34">
        <v>1.3202</v>
      </c>
    </row>
    <row r="73" spans="5:9" x14ac:dyDescent="0.25">
      <c r="E73" s="34" t="s">
        <v>43</v>
      </c>
      <c r="F73" s="34" t="s">
        <v>44</v>
      </c>
      <c r="G73" s="35">
        <v>43993</v>
      </c>
      <c r="H73" s="36">
        <v>0.71271990740740743</v>
      </c>
      <c r="I73" s="34">
        <v>6.0960000000000001</v>
      </c>
    </row>
    <row r="74" spans="5:9" x14ac:dyDescent="0.25">
      <c r="E74" s="34" t="s">
        <v>43</v>
      </c>
      <c r="F74" s="34" t="s">
        <v>45</v>
      </c>
      <c r="G74" s="35">
        <v>43993</v>
      </c>
      <c r="H74" s="36">
        <v>0.7286689814814814</v>
      </c>
      <c r="I74" s="34">
        <v>0.28129999999999999</v>
      </c>
    </row>
    <row r="75" spans="5:9" x14ac:dyDescent="0.25">
      <c r="E75" s="34" t="s">
        <v>46</v>
      </c>
      <c r="F75" s="34" t="s">
        <v>47</v>
      </c>
      <c r="G75" s="35">
        <v>43993</v>
      </c>
      <c r="H75" s="36">
        <v>0.69805555555555554</v>
      </c>
      <c r="I75" s="34">
        <v>1.3329</v>
      </c>
    </row>
    <row r="76" spans="5:9" x14ac:dyDescent="0.25">
      <c r="E76" s="34" t="s">
        <v>48</v>
      </c>
      <c r="F76" s="34" t="s">
        <v>49</v>
      </c>
      <c r="G76" s="35">
        <v>43993</v>
      </c>
      <c r="H76" s="36">
        <v>0.51627314814814818</v>
      </c>
      <c r="I76" s="34">
        <v>2.6000999999999999</v>
      </c>
    </row>
    <row r="77" spans="5:9" x14ac:dyDescent="0.25">
      <c r="E77" s="34" t="s">
        <v>48</v>
      </c>
      <c r="F77" s="34" t="s">
        <v>50</v>
      </c>
      <c r="G77" s="35">
        <v>43993</v>
      </c>
      <c r="H77" s="36">
        <v>0.51628472222222221</v>
      </c>
      <c r="I77" s="34">
        <v>2.5146000000000002</v>
      </c>
    </row>
    <row r="78" spans="5:9" x14ac:dyDescent="0.25">
      <c r="E78" s="34" t="s">
        <v>40</v>
      </c>
      <c r="F78" s="34" t="s">
        <v>51</v>
      </c>
      <c r="G78" s="35">
        <v>43993</v>
      </c>
      <c r="H78" s="36">
        <v>0.69810185185185192</v>
      </c>
      <c r="I78" s="34">
        <v>0.35199999999999998</v>
      </c>
    </row>
    <row r="79" spans="5:9" x14ac:dyDescent="0.25">
      <c r="E79" s="34" t="s">
        <v>25</v>
      </c>
      <c r="F79" s="34" t="s">
        <v>54</v>
      </c>
      <c r="G79" s="35">
        <v>43993</v>
      </c>
      <c r="H79" s="36">
        <v>0.73429398148148151</v>
      </c>
      <c r="I79" s="34">
        <v>0.33439999999999998</v>
      </c>
    </row>
    <row r="80" spans="5:9" x14ac:dyDescent="0.25">
      <c r="E80" s="34" t="s">
        <v>55</v>
      </c>
      <c r="F80" s="34" t="s">
        <v>56</v>
      </c>
      <c r="G80" s="35">
        <v>43993</v>
      </c>
      <c r="H80" s="36">
        <v>0.70500000000000007</v>
      </c>
      <c r="I80" s="34">
        <v>1.452</v>
      </c>
    </row>
    <row r="82" spans="5:9" x14ac:dyDescent="0.25">
      <c r="E82" s="73" t="s">
        <v>58</v>
      </c>
      <c r="F82" s="73"/>
      <c r="G82" s="73"/>
      <c r="H82" s="73"/>
      <c r="I82" s="73"/>
    </row>
    <row r="86" spans="5:9" ht="15.75" thickBot="1" x14ac:dyDescent="0.3"/>
    <row r="87" spans="5:9" ht="30" customHeight="1" thickBot="1" x14ac:dyDescent="0.3">
      <c r="E87" s="70" t="s">
        <v>57</v>
      </c>
      <c r="F87" s="71"/>
      <c r="G87" s="71"/>
      <c r="H87" s="71"/>
      <c r="I87" s="72"/>
    </row>
    <row r="88" spans="5:9" ht="28.5" x14ac:dyDescent="0.25">
      <c r="E88" s="28" t="s">
        <v>20</v>
      </c>
      <c r="F88" s="28" t="s">
        <v>21</v>
      </c>
      <c r="G88" s="28" t="s">
        <v>22</v>
      </c>
      <c r="H88" s="28" t="s">
        <v>23</v>
      </c>
      <c r="I88" s="28" t="s">
        <v>24</v>
      </c>
    </row>
    <row r="89" spans="5:9" x14ac:dyDescent="0.25">
      <c r="E89" s="29" t="s">
        <v>60</v>
      </c>
      <c r="F89" s="29" t="s">
        <v>61</v>
      </c>
      <c r="G89" s="30">
        <v>43993</v>
      </c>
      <c r="H89" s="31">
        <v>0.7807291666666667</v>
      </c>
      <c r="I89" s="29">
        <v>0.68400000000000005</v>
      </c>
    </row>
    <row r="90" spans="5:9" x14ac:dyDescent="0.25">
      <c r="E90" s="29" t="s">
        <v>62</v>
      </c>
      <c r="F90" s="29" t="s">
        <v>63</v>
      </c>
      <c r="G90" s="30">
        <v>43993</v>
      </c>
      <c r="H90" s="31">
        <v>0.74736111111111114</v>
      </c>
      <c r="I90" s="29">
        <v>1.3859999999999999</v>
      </c>
    </row>
    <row r="91" spans="5:9" x14ac:dyDescent="0.25">
      <c r="E91" s="29" t="s">
        <v>62</v>
      </c>
      <c r="F91" s="29" t="s">
        <v>64</v>
      </c>
      <c r="G91" s="30">
        <v>43993</v>
      </c>
      <c r="H91" s="31">
        <v>0.74736111111111114</v>
      </c>
      <c r="I91" s="29">
        <v>2.4420000000000002</v>
      </c>
    </row>
    <row r="92" spans="5:9" x14ac:dyDescent="0.25">
      <c r="E92" s="29" t="s">
        <v>37</v>
      </c>
      <c r="F92" s="29" t="s">
        <v>38</v>
      </c>
      <c r="G92" s="30">
        <v>43993</v>
      </c>
      <c r="H92" s="31">
        <v>0.58347222222222228</v>
      </c>
      <c r="I92" s="29">
        <v>0.75360000000000005</v>
      </c>
    </row>
    <row r="93" spans="5:9" x14ac:dyDescent="0.25">
      <c r="E93" s="29" t="s">
        <v>43</v>
      </c>
      <c r="F93" s="29" t="s">
        <v>44</v>
      </c>
      <c r="G93" s="30">
        <v>43993</v>
      </c>
      <c r="H93" s="31">
        <v>0.71271990740740743</v>
      </c>
      <c r="I93" s="29">
        <v>6.0960000000000001</v>
      </c>
    </row>
    <row r="94" spans="5:9" x14ac:dyDescent="0.25">
      <c r="E94" s="29" t="s">
        <v>43</v>
      </c>
      <c r="F94" s="29" t="s">
        <v>45</v>
      </c>
      <c r="G94" s="30">
        <v>43993</v>
      </c>
      <c r="H94" s="31">
        <v>0.7286689814814814</v>
      </c>
      <c r="I94" s="29">
        <v>0.28129999999999999</v>
      </c>
    </row>
    <row r="95" spans="5:9" x14ac:dyDescent="0.25">
      <c r="E95" s="29" t="s">
        <v>46</v>
      </c>
      <c r="F95" s="29" t="s">
        <v>47</v>
      </c>
      <c r="G95" s="30">
        <v>43993</v>
      </c>
      <c r="H95" s="31">
        <v>0.69805555555555554</v>
      </c>
      <c r="I95" s="29">
        <v>1.3329</v>
      </c>
    </row>
    <row r="96" spans="5:9" x14ac:dyDescent="0.25">
      <c r="E96" s="29" t="s">
        <v>62</v>
      </c>
      <c r="F96" s="29" t="s">
        <v>65</v>
      </c>
      <c r="G96" s="30">
        <v>43993</v>
      </c>
      <c r="H96" s="31">
        <v>0.74737268518518529</v>
      </c>
      <c r="I96" s="29">
        <v>0.92800000000000005</v>
      </c>
    </row>
    <row r="97" spans="5:9" x14ac:dyDescent="0.25">
      <c r="E97" s="29" t="s">
        <v>62</v>
      </c>
      <c r="F97" s="29" t="s">
        <v>66</v>
      </c>
      <c r="G97" s="30">
        <v>43993</v>
      </c>
      <c r="H97" s="31">
        <v>0.74738425925925922</v>
      </c>
      <c r="I97" s="29">
        <v>0.9</v>
      </c>
    </row>
    <row r="98" spans="5:9" x14ac:dyDescent="0.25">
      <c r="E98" s="29" t="s">
        <v>67</v>
      </c>
      <c r="F98" s="29" t="s">
        <v>68</v>
      </c>
      <c r="G98" s="30">
        <v>43993</v>
      </c>
      <c r="H98" s="31">
        <v>0.76689814814814816</v>
      </c>
      <c r="I98" s="29">
        <v>0.64800000000000002</v>
      </c>
    </row>
    <row r="99" spans="5:9" x14ac:dyDescent="0.25">
      <c r="E99" s="29" t="s">
        <v>30</v>
      </c>
      <c r="F99" s="29" t="s">
        <v>69</v>
      </c>
      <c r="G99" s="30">
        <v>43993</v>
      </c>
      <c r="H99" s="31">
        <v>0.77377314814814813</v>
      </c>
      <c r="I99" s="29">
        <v>0.32400000000000001</v>
      </c>
    </row>
    <row r="100" spans="5:9" x14ac:dyDescent="0.25">
      <c r="E100" s="29" t="s">
        <v>40</v>
      </c>
      <c r="F100" s="29" t="s">
        <v>51</v>
      </c>
      <c r="G100" s="30">
        <v>43993</v>
      </c>
      <c r="H100" s="31">
        <v>0.69810185185185192</v>
      </c>
      <c r="I100" s="29">
        <v>0.35199999999999998</v>
      </c>
    </row>
    <row r="101" spans="5:9" x14ac:dyDescent="0.25">
      <c r="E101" s="29" t="s">
        <v>70</v>
      </c>
      <c r="F101" s="29" t="s">
        <v>71</v>
      </c>
      <c r="G101" s="30">
        <v>43993</v>
      </c>
      <c r="H101" s="31">
        <v>0.77027777777777784</v>
      </c>
      <c r="I101" s="29">
        <v>1.8240000000000001</v>
      </c>
    </row>
    <row r="102" spans="5:9" x14ac:dyDescent="0.25">
      <c r="E102" s="29" t="s">
        <v>52</v>
      </c>
      <c r="F102" s="29" t="s">
        <v>53</v>
      </c>
      <c r="G102" s="30">
        <v>43966</v>
      </c>
      <c r="H102" s="31">
        <v>0.66343750000000001</v>
      </c>
      <c r="I102" s="29">
        <v>2.0105</v>
      </c>
    </row>
    <row r="103" spans="5:9" x14ac:dyDescent="0.25">
      <c r="E103" s="29" t="s">
        <v>55</v>
      </c>
      <c r="F103" s="29" t="s">
        <v>56</v>
      </c>
      <c r="G103" s="30">
        <v>43993</v>
      </c>
      <c r="H103" s="31">
        <v>0.70500000000000007</v>
      </c>
      <c r="I103" s="29">
        <v>1.452</v>
      </c>
    </row>
    <row r="104" spans="5:9" x14ac:dyDescent="0.25">
      <c r="E104" s="29" t="s">
        <v>72</v>
      </c>
      <c r="F104" s="29" t="s">
        <v>73</v>
      </c>
      <c r="G104" s="30">
        <v>43993</v>
      </c>
      <c r="H104" s="31">
        <v>0.74741898148148145</v>
      </c>
      <c r="I104" s="29">
        <v>0.62209999999999999</v>
      </c>
    </row>
    <row r="105" spans="5:9" x14ac:dyDescent="0.25">
      <c r="E105" s="29" t="s">
        <v>72</v>
      </c>
      <c r="F105" s="29" t="s">
        <v>74</v>
      </c>
      <c r="G105" s="30">
        <v>43993</v>
      </c>
      <c r="H105" s="31">
        <v>0.74740740740740741</v>
      </c>
      <c r="I105" s="29">
        <v>1.5848</v>
      </c>
    </row>
    <row r="106" spans="5:9" x14ac:dyDescent="0.25">
      <c r="E106" s="29" t="s">
        <v>72</v>
      </c>
      <c r="F106" s="29" t="s">
        <v>75</v>
      </c>
      <c r="G106" s="30">
        <v>43993</v>
      </c>
      <c r="H106" s="31">
        <v>0.74739583333333337</v>
      </c>
      <c r="I106" s="29">
        <v>1.6439999999999999</v>
      </c>
    </row>
    <row r="107" spans="5:9" x14ac:dyDescent="0.25">
      <c r="E107" s="29" t="s">
        <v>76</v>
      </c>
      <c r="F107" s="29" t="s">
        <v>77</v>
      </c>
      <c r="G107" s="30">
        <v>43993</v>
      </c>
      <c r="H107" s="31">
        <v>0.77940972222222227</v>
      </c>
      <c r="I107" s="29">
        <v>0.22800000000000001</v>
      </c>
    </row>
    <row r="109" spans="5:9" ht="15.75" thickBot="1" x14ac:dyDescent="0.3"/>
    <row r="110" spans="5:9" ht="16.5" thickBot="1" x14ac:dyDescent="0.3">
      <c r="E110" s="74" t="s">
        <v>78</v>
      </c>
      <c r="F110" s="75"/>
      <c r="G110" s="75"/>
      <c r="H110" s="75"/>
      <c r="I110" s="76"/>
    </row>
    <row r="111" spans="5:9" ht="28.5" x14ac:dyDescent="0.25">
      <c r="E111" s="28" t="s">
        <v>20</v>
      </c>
      <c r="F111" s="28" t="s">
        <v>21</v>
      </c>
      <c r="G111" s="28" t="s">
        <v>22</v>
      </c>
      <c r="H111" s="28" t="s">
        <v>23</v>
      </c>
      <c r="I111" s="28" t="s">
        <v>24</v>
      </c>
    </row>
    <row r="112" spans="5:9" x14ac:dyDescent="0.25">
      <c r="E112" s="29" t="s">
        <v>60</v>
      </c>
      <c r="F112" s="29" t="s">
        <v>61</v>
      </c>
      <c r="G112" s="30">
        <v>43993</v>
      </c>
      <c r="H112" s="31">
        <v>0.7807291666666667</v>
      </c>
      <c r="I112" s="29">
        <v>0.68400000000000005</v>
      </c>
    </row>
    <row r="113" spans="5:9" x14ac:dyDescent="0.25">
      <c r="E113" s="29" t="s">
        <v>62</v>
      </c>
      <c r="F113" s="29" t="s">
        <v>63</v>
      </c>
      <c r="G113" s="30">
        <v>43993</v>
      </c>
      <c r="H113" s="31">
        <v>0.74736111111111114</v>
      </c>
      <c r="I113" s="29">
        <v>1.3859999999999999</v>
      </c>
    </row>
    <row r="114" spans="5:9" x14ac:dyDescent="0.25">
      <c r="E114" s="29" t="s">
        <v>62</v>
      </c>
      <c r="F114" s="29" t="s">
        <v>64</v>
      </c>
      <c r="G114" s="30">
        <v>43993</v>
      </c>
      <c r="H114" s="31">
        <v>0.74736111111111114</v>
      </c>
      <c r="I114" s="29">
        <v>2.4420000000000002</v>
      </c>
    </row>
    <row r="115" spans="5:9" x14ac:dyDescent="0.25">
      <c r="E115" s="29" t="s">
        <v>37</v>
      </c>
      <c r="F115" s="29" t="s">
        <v>38</v>
      </c>
      <c r="G115" s="30">
        <v>43993</v>
      </c>
      <c r="H115" s="31">
        <v>0.58347222222222228</v>
      </c>
      <c r="I115" s="29">
        <v>0.75360000000000005</v>
      </c>
    </row>
    <row r="116" spans="5:9" x14ac:dyDescent="0.25">
      <c r="E116" s="29" t="s">
        <v>43</v>
      </c>
      <c r="F116" s="29" t="s">
        <v>44</v>
      </c>
      <c r="G116" s="30">
        <v>43993</v>
      </c>
      <c r="H116" s="31">
        <v>0.71271990740740743</v>
      </c>
      <c r="I116" s="29">
        <v>6.0960000000000001</v>
      </c>
    </row>
    <row r="117" spans="5:9" x14ac:dyDescent="0.25">
      <c r="E117" s="29" t="s">
        <v>43</v>
      </c>
      <c r="F117" s="29" t="s">
        <v>45</v>
      </c>
      <c r="G117" s="30">
        <v>43993</v>
      </c>
      <c r="H117" s="31">
        <v>0.7286689814814814</v>
      </c>
      <c r="I117" s="29">
        <v>0.28129999999999999</v>
      </c>
    </row>
    <row r="118" spans="5:9" x14ac:dyDescent="0.25">
      <c r="E118" s="29" t="s">
        <v>46</v>
      </c>
      <c r="F118" s="29" t="s">
        <v>47</v>
      </c>
      <c r="G118" s="30">
        <v>43993</v>
      </c>
      <c r="H118" s="31">
        <v>0.69805555555555554</v>
      </c>
      <c r="I118" s="29">
        <v>1.3329</v>
      </c>
    </row>
    <row r="119" spans="5:9" x14ac:dyDescent="0.25">
      <c r="E119" s="29" t="s">
        <v>62</v>
      </c>
      <c r="F119" s="29" t="s">
        <v>65</v>
      </c>
      <c r="G119" s="30">
        <v>43993</v>
      </c>
      <c r="H119" s="31">
        <v>0.74737268518518529</v>
      </c>
      <c r="I119" s="29">
        <v>0.92800000000000005</v>
      </c>
    </row>
    <row r="120" spans="5:9" x14ac:dyDescent="0.25">
      <c r="E120" s="29" t="s">
        <v>62</v>
      </c>
      <c r="F120" s="29" t="s">
        <v>66</v>
      </c>
      <c r="G120" s="30">
        <v>43993</v>
      </c>
      <c r="H120" s="31">
        <v>0.74738425925925922</v>
      </c>
      <c r="I120" s="29">
        <v>0.9</v>
      </c>
    </row>
    <row r="121" spans="5:9" x14ac:dyDescent="0.25">
      <c r="E121" s="29" t="s">
        <v>67</v>
      </c>
      <c r="F121" s="29" t="s">
        <v>68</v>
      </c>
      <c r="G121" s="30">
        <v>43993</v>
      </c>
      <c r="H121" s="31">
        <v>0.76689814814814816</v>
      </c>
      <c r="I121" s="29">
        <v>0.64800000000000002</v>
      </c>
    </row>
    <row r="122" spans="5:9" x14ac:dyDescent="0.25">
      <c r="E122" s="29" t="s">
        <v>30</v>
      </c>
      <c r="F122" s="29" t="s">
        <v>69</v>
      </c>
      <c r="G122" s="30">
        <v>43993</v>
      </c>
      <c r="H122" s="31">
        <v>0.77377314814814813</v>
      </c>
      <c r="I122" s="29">
        <v>0.32400000000000001</v>
      </c>
    </row>
    <row r="123" spans="5:9" x14ac:dyDescent="0.25">
      <c r="E123" s="29" t="s">
        <v>40</v>
      </c>
      <c r="F123" s="29" t="s">
        <v>51</v>
      </c>
      <c r="G123" s="30">
        <v>43993</v>
      </c>
      <c r="H123" s="31">
        <v>0.69810185185185192</v>
      </c>
      <c r="I123" s="29">
        <v>0.35199999999999998</v>
      </c>
    </row>
    <row r="124" spans="5:9" x14ac:dyDescent="0.25">
      <c r="E124" s="29" t="s">
        <v>70</v>
      </c>
      <c r="F124" s="29" t="s">
        <v>71</v>
      </c>
      <c r="G124" s="30">
        <v>43993</v>
      </c>
      <c r="H124" s="31">
        <v>0.77027777777777784</v>
      </c>
      <c r="I124" s="29">
        <v>1.8240000000000001</v>
      </c>
    </row>
    <row r="125" spans="5:9" x14ac:dyDescent="0.25">
      <c r="E125" s="29" t="s">
        <v>55</v>
      </c>
      <c r="F125" s="29" t="s">
        <v>56</v>
      </c>
      <c r="G125" s="30">
        <v>43993</v>
      </c>
      <c r="H125" s="31">
        <v>0.70500000000000007</v>
      </c>
      <c r="I125" s="29">
        <v>1.452</v>
      </c>
    </row>
    <row r="126" spans="5:9" x14ac:dyDescent="0.25">
      <c r="E126" s="29" t="s">
        <v>72</v>
      </c>
      <c r="F126" s="29" t="s">
        <v>73</v>
      </c>
      <c r="G126" s="30">
        <v>43993</v>
      </c>
      <c r="H126" s="31">
        <v>0.74741898148148145</v>
      </c>
      <c r="I126" s="29">
        <v>0.62209999999999999</v>
      </c>
    </row>
    <row r="127" spans="5:9" x14ac:dyDescent="0.25">
      <c r="E127" s="29" t="s">
        <v>72</v>
      </c>
      <c r="F127" s="29" t="s">
        <v>74</v>
      </c>
      <c r="G127" s="30">
        <v>43993</v>
      </c>
      <c r="H127" s="31">
        <v>0.74740740740740741</v>
      </c>
      <c r="I127" s="29">
        <v>1.5848</v>
      </c>
    </row>
    <row r="128" spans="5:9" x14ac:dyDescent="0.25">
      <c r="E128" s="29" t="s">
        <v>72</v>
      </c>
      <c r="F128" s="29" t="s">
        <v>75</v>
      </c>
      <c r="G128" s="30">
        <v>43993</v>
      </c>
      <c r="H128" s="31">
        <v>0.74739583333333337</v>
      </c>
      <c r="I128" s="29">
        <v>1.6439999999999999</v>
      </c>
    </row>
    <row r="135" spans="5:9" ht="30" x14ac:dyDescent="0.35">
      <c r="E135" s="27" t="s">
        <v>79</v>
      </c>
    </row>
    <row r="136" spans="5:9" ht="28.5" x14ac:dyDescent="0.25">
      <c r="E136" s="28" t="s">
        <v>20</v>
      </c>
      <c r="F136" s="28" t="s">
        <v>21</v>
      </c>
      <c r="G136" s="28" t="s">
        <v>22</v>
      </c>
      <c r="H136" s="28" t="s">
        <v>23</v>
      </c>
      <c r="I136" s="28" t="s">
        <v>24</v>
      </c>
    </row>
    <row r="137" spans="5:9" x14ac:dyDescent="0.25">
      <c r="E137" s="29" t="s">
        <v>80</v>
      </c>
      <c r="F137" s="29" t="s">
        <v>81</v>
      </c>
      <c r="G137" s="30">
        <v>43993</v>
      </c>
      <c r="H137" s="31">
        <v>0.78908564814814808</v>
      </c>
      <c r="I137" s="29">
        <v>3.3</v>
      </c>
    </row>
    <row r="138" spans="5:9" x14ac:dyDescent="0.25">
      <c r="E138" s="29" t="s">
        <v>37</v>
      </c>
      <c r="F138" s="29" t="s">
        <v>38</v>
      </c>
      <c r="G138" s="30">
        <v>43993</v>
      </c>
      <c r="H138" s="31">
        <v>0.58347222222222228</v>
      </c>
      <c r="I138" s="29">
        <v>0.75360000000000005</v>
      </c>
    </row>
    <row r="139" spans="5:9" x14ac:dyDescent="0.25">
      <c r="E139" s="29" t="s">
        <v>30</v>
      </c>
      <c r="F139" s="29" t="s">
        <v>82</v>
      </c>
      <c r="G139" s="30">
        <v>43993</v>
      </c>
      <c r="H139" s="31">
        <v>0.79806712962962967</v>
      </c>
      <c r="I139" s="29">
        <v>0.156</v>
      </c>
    </row>
    <row r="140" spans="5:9" x14ac:dyDescent="0.25">
      <c r="E140" s="29" t="s">
        <v>43</v>
      </c>
      <c r="F140" s="29" t="s">
        <v>45</v>
      </c>
      <c r="G140" s="30">
        <v>43993</v>
      </c>
      <c r="H140" s="31">
        <v>0.7286689814814814</v>
      </c>
      <c r="I140" s="29">
        <v>0.28129999999999999</v>
      </c>
    </row>
    <row r="141" spans="5:9" x14ac:dyDescent="0.25">
      <c r="E141" s="29" t="s">
        <v>40</v>
      </c>
      <c r="F141" s="29" t="s">
        <v>51</v>
      </c>
      <c r="G141" s="30">
        <v>43993</v>
      </c>
      <c r="H141" s="31">
        <v>0.69810185185185192</v>
      </c>
      <c r="I141" s="29">
        <v>0.35199999999999998</v>
      </c>
    </row>
    <row r="142" spans="5:9" x14ac:dyDescent="0.25">
      <c r="E142" s="29" t="s">
        <v>70</v>
      </c>
      <c r="F142" s="29" t="s">
        <v>71</v>
      </c>
      <c r="G142" s="30">
        <v>43993</v>
      </c>
      <c r="H142" s="31">
        <v>0.77027777777777784</v>
      </c>
      <c r="I142" s="29">
        <v>1.8240000000000001</v>
      </c>
    </row>
    <row r="143" spans="5:9" x14ac:dyDescent="0.25">
      <c r="E143" s="29" t="s">
        <v>70</v>
      </c>
      <c r="F143" s="29" t="s">
        <v>83</v>
      </c>
      <c r="G143" s="30">
        <v>43993</v>
      </c>
      <c r="H143" s="31">
        <v>0.78765046296296293</v>
      </c>
      <c r="I143" s="29">
        <v>1.0920000000000001</v>
      </c>
    </row>
    <row r="144" spans="5:9" x14ac:dyDescent="0.25">
      <c r="E144" s="29" t="s">
        <v>52</v>
      </c>
      <c r="F144" s="29" t="s">
        <v>53</v>
      </c>
      <c r="G144" s="30">
        <v>43966</v>
      </c>
      <c r="H144" s="31">
        <v>0.66343750000000001</v>
      </c>
      <c r="I144" s="29">
        <v>2.0105</v>
      </c>
    </row>
    <row r="145" spans="5:9" x14ac:dyDescent="0.25">
      <c r="E145" s="29" t="s">
        <v>55</v>
      </c>
      <c r="F145" s="29" t="s">
        <v>56</v>
      </c>
      <c r="G145" s="30">
        <v>43993</v>
      </c>
      <c r="H145" s="31">
        <v>0.70500000000000007</v>
      </c>
      <c r="I145" s="29">
        <v>1.452</v>
      </c>
    </row>
    <row r="148" spans="5:9" ht="15.75" thickBot="1" x14ac:dyDescent="0.3"/>
    <row r="149" spans="5:9" ht="19.5" thickBot="1" x14ac:dyDescent="0.35">
      <c r="E149" s="67" t="s">
        <v>84</v>
      </c>
      <c r="F149" s="68"/>
      <c r="G149" s="68"/>
      <c r="H149" s="68"/>
      <c r="I149" s="69"/>
    </row>
    <row r="150" spans="5:9" ht="28.5" x14ac:dyDescent="0.25">
      <c r="E150" s="37" t="s">
        <v>20</v>
      </c>
      <c r="F150" s="28" t="s">
        <v>21</v>
      </c>
      <c r="G150" s="28" t="s">
        <v>22</v>
      </c>
      <c r="H150" s="28" t="s">
        <v>23</v>
      </c>
      <c r="I150" s="38" t="s">
        <v>24</v>
      </c>
    </row>
    <row r="151" spans="5:9" x14ac:dyDescent="0.25">
      <c r="E151" s="39" t="s">
        <v>80</v>
      </c>
      <c r="F151" s="29" t="s">
        <v>81</v>
      </c>
      <c r="G151" s="30">
        <v>43993</v>
      </c>
      <c r="H151" s="31">
        <v>0.78908564814814808</v>
      </c>
      <c r="I151" s="40">
        <v>3.3</v>
      </c>
    </row>
    <row r="152" spans="5:9" x14ac:dyDescent="0.25">
      <c r="E152" s="39" t="s">
        <v>37</v>
      </c>
      <c r="F152" s="29" t="s">
        <v>38</v>
      </c>
      <c r="G152" s="30">
        <v>43993</v>
      </c>
      <c r="H152" s="31">
        <v>0.58347222222222228</v>
      </c>
      <c r="I152" s="40">
        <v>0.75360000000000005</v>
      </c>
    </row>
    <row r="153" spans="5:9" x14ac:dyDescent="0.25">
      <c r="E153" s="39" t="s">
        <v>30</v>
      </c>
      <c r="F153" s="29" t="s">
        <v>82</v>
      </c>
      <c r="G153" s="30">
        <v>43993</v>
      </c>
      <c r="H153" s="31">
        <v>0.79806712962962967</v>
      </c>
      <c r="I153" s="40">
        <v>0.156</v>
      </c>
    </row>
    <row r="154" spans="5:9" x14ac:dyDescent="0.25">
      <c r="E154" s="39" t="s">
        <v>43</v>
      </c>
      <c r="F154" s="29" t="s">
        <v>45</v>
      </c>
      <c r="G154" s="30">
        <v>43993</v>
      </c>
      <c r="H154" s="31">
        <v>0.7286689814814814</v>
      </c>
      <c r="I154" s="40">
        <v>0.28129999999999999</v>
      </c>
    </row>
    <row r="155" spans="5:9" x14ac:dyDescent="0.25">
      <c r="E155" s="39" t="s">
        <v>40</v>
      </c>
      <c r="F155" s="29" t="s">
        <v>51</v>
      </c>
      <c r="G155" s="30">
        <v>43993</v>
      </c>
      <c r="H155" s="31">
        <v>0.69810185185185192</v>
      </c>
      <c r="I155" s="40">
        <v>0.35199999999999998</v>
      </c>
    </row>
    <row r="156" spans="5:9" x14ac:dyDescent="0.25">
      <c r="E156" s="39" t="s">
        <v>70</v>
      </c>
      <c r="F156" s="29" t="s">
        <v>71</v>
      </c>
      <c r="G156" s="30">
        <v>43993</v>
      </c>
      <c r="H156" s="31">
        <v>0.77027777777777784</v>
      </c>
      <c r="I156" s="40">
        <v>1.8240000000000001</v>
      </c>
    </row>
    <row r="157" spans="5:9" x14ac:dyDescent="0.25">
      <c r="E157" s="39" t="s">
        <v>70</v>
      </c>
      <c r="F157" s="29" t="s">
        <v>83</v>
      </c>
      <c r="G157" s="30">
        <v>43993</v>
      </c>
      <c r="H157" s="31">
        <v>0.78765046296296293</v>
      </c>
      <c r="I157" s="40">
        <v>1.0920000000000001</v>
      </c>
    </row>
    <row r="158" spans="5:9" ht="15.75" thickBot="1" x14ac:dyDescent="0.3">
      <c r="E158" s="41" t="s">
        <v>55</v>
      </c>
      <c r="F158" s="42" t="s">
        <v>56</v>
      </c>
      <c r="G158" s="43">
        <v>43993</v>
      </c>
      <c r="H158" s="44">
        <v>0.70500000000000007</v>
      </c>
      <c r="I158" s="45">
        <v>1.452</v>
      </c>
    </row>
    <row r="162" spans="1:5" x14ac:dyDescent="0.25">
      <c r="A162" s="3">
        <v>2719.3565716666667</v>
      </c>
      <c r="B162" s="3">
        <v>2670.85</v>
      </c>
      <c r="C162" s="3">
        <v>2645.27</v>
      </c>
      <c r="D162" s="3">
        <f t="shared" ref="D162:D193" si="0">MAX(B162:C162)</f>
        <v>2670.85</v>
      </c>
      <c r="E162" s="3">
        <f t="shared" ref="E162:E193" si="1">30+D162</f>
        <v>2700.85</v>
      </c>
    </row>
    <row r="163" spans="1:5" x14ac:dyDescent="0.25">
      <c r="A163" s="3">
        <v>2715.4424153333334</v>
      </c>
      <c r="B163" s="3">
        <v>2666.74</v>
      </c>
      <c r="C163" s="3">
        <v>2641.78</v>
      </c>
      <c r="D163" s="3">
        <f t="shared" si="0"/>
        <v>2666.74</v>
      </c>
      <c r="E163" s="3">
        <f t="shared" si="1"/>
        <v>2696.74</v>
      </c>
    </row>
    <row r="164" spans="1:5" x14ac:dyDescent="0.25">
      <c r="A164" s="3">
        <v>2717.1938569999998</v>
      </c>
      <c r="B164" s="3">
        <v>2663.49</v>
      </c>
      <c r="C164" s="3">
        <v>2653.56</v>
      </c>
      <c r="D164" s="3">
        <f t="shared" si="0"/>
        <v>2663.49</v>
      </c>
      <c r="E164" s="3">
        <f t="shared" si="1"/>
        <v>2693.49</v>
      </c>
    </row>
    <row r="165" spans="1:5" x14ac:dyDescent="0.25">
      <c r="A165" s="3">
        <v>2702.0092416666666</v>
      </c>
      <c r="B165" s="3">
        <v>2642.75</v>
      </c>
      <c r="C165" s="3">
        <v>2649.65</v>
      </c>
      <c r="D165" s="3">
        <f t="shared" si="0"/>
        <v>2649.65</v>
      </c>
      <c r="E165" s="3">
        <f t="shared" si="1"/>
        <v>2679.65</v>
      </c>
    </row>
    <row r="166" spans="1:5" x14ac:dyDescent="0.25">
      <c r="A166" s="3">
        <v>2684.6028820000001</v>
      </c>
      <c r="B166" s="3">
        <v>2632.74</v>
      </c>
      <c r="C166" s="3">
        <v>2617.5300000000002</v>
      </c>
      <c r="D166" s="3">
        <f t="shared" si="0"/>
        <v>2632.74</v>
      </c>
      <c r="E166" s="3">
        <f t="shared" si="1"/>
        <v>2662.74</v>
      </c>
    </row>
    <row r="167" spans="1:5" x14ac:dyDescent="0.25">
      <c r="A167" s="3">
        <v>2678.2884973333335</v>
      </c>
      <c r="B167" s="3">
        <v>2623.48</v>
      </c>
      <c r="C167" s="3">
        <v>2617.1799999999998</v>
      </c>
      <c r="D167" s="3">
        <f t="shared" si="0"/>
        <v>2623.48</v>
      </c>
      <c r="E167" s="3">
        <f t="shared" si="1"/>
        <v>2653.48</v>
      </c>
    </row>
    <row r="168" spans="1:5" x14ac:dyDescent="0.25">
      <c r="A168" s="3">
        <v>2673.754088666667</v>
      </c>
      <c r="B168" s="3">
        <v>2620.54</v>
      </c>
      <c r="C168" s="3">
        <v>2609.48</v>
      </c>
      <c r="D168" s="3">
        <f t="shared" si="0"/>
        <v>2620.54</v>
      </c>
      <c r="E168" s="3">
        <f t="shared" si="1"/>
        <v>2650.54</v>
      </c>
    </row>
    <row r="169" spans="1:5" x14ac:dyDescent="0.25">
      <c r="A169" s="3">
        <v>2667.0507003333332</v>
      </c>
      <c r="B169" s="3">
        <v>2614.19</v>
      </c>
      <c r="C169" s="3">
        <v>2602.12</v>
      </c>
      <c r="D169" s="3">
        <f t="shared" si="0"/>
        <v>2614.19</v>
      </c>
      <c r="E169" s="3">
        <f t="shared" si="1"/>
        <v>2644.19</v>
      </c>
    </row>
    <row r="170" spans="1:5" x14ac:dyDescent="0.25">
      <c r="A170" s="3">
        <v>2664.1558769999997</v>
      </c>
      <c r="B170" s="3">
        <v>2614.89</v>
      </c>
      <c r="C170" s="3">
        <v>2592.0300000000002</v>
      </c>
      <c r="D170" s="3">
        <f t="shared" si="0"/>
        <v>2614.89</v>
      </c>
      <c r="E170" s="3">
        <f t="shared" si="1"/>
        <v>2644.89</v>
      </c>
    </row>
    <row r="171" spans="1:5" x14ac:dyDescent="0.25">
      <c r="A171" s="3">
        <v>2632.1070676666668</v>
      </c>
      <c r="B171" s="3">
        <v>2573.5700000000002</v>
      </c>
      <c r="C171" s="3">
        <v>2578.85</v>
      </c>
      <c r="D171" s="3">
        <f t="shared" si="0"/>
        <v>2578.85</v>
      </c>
      <c r="E171" s="3">
        <f t="shared" si="1"/>
        <v>2608.85</v>
      </c>
    </row>
    <row r="172" spans="1:5" x14ac:dyDescent="0.25">
      <c r="A172" s="3">
        <v>2611.3314340000002</v>
      </c>
      <c r="B172" s="3">
        <v>2547.38</v>
      </c>
      <c r="C172" s="3">
        <v>2569.11</v>
      </c>
      <c r="D172" s="3">
        <f t="shared" si="0"/>
        <v>2569.11</v>
      </c>
      <c r="E172" s="3">
        <f t="shared" si="1"/>
        <v>2599.11</v>
      </c>
    </row>
    <row r="173" spans="1:5" x14ac:dyDescent="0.25">
      <c r="A173" s="3">
        <v>2598.433825666667</v>
      </c>
      <c r="B173" s="3">
        <v>2535.63</v>
      </c>
      <c r="C173" s="3">
        <v>2554.0100000000002</v>
      </c>
      <c r="D173" s="3">
        <f t="shared" si="0"/>
        <v>2554.0100000000002</v>
      </c>
      <c r="E173" s="3">
        <f t="shared" si="1"/>
        <v>2584.0100000000002</v>
      </c>
    </row>
    <row r="174" spans="1:5" x14ac:dyDescent="0.25">
      <c r="A174" s="3">
        <v>2606.5987326666664</v>
      </c>
      <c r="B174" s="3">
        <v>2547.62</v>
      </c>
      <c r="C174" s="3">
        <v>2554.4299999999998</v>
      </c>
      <c r="D174" s="3">
        <f t="shared" si="0"/>
        <v>2554.4299999999998</v>
      </c>
      <c r="E174" s="3">
        <f t="shared" si="1"/>
        <v>2584.4299999999998</v>
      </c>
    </row>
    <row r="175" spans="1:5" x14ac:dyDescent="0.25">
      <c r="A175" s="3">
        <v>2609.1724150000005</v>
      </c>
      <c r="B175" s="3">
        <v>2551.5500000000002</v>
      </c>
      <c r="C175" s="3">
        <v>2554.2600000000002</v>
      </c>
      <c r="D175" s="3">
        <f t="shared" si="0"/>
        <v>2554.2600000000002</v>
      </c>
      <c r="E175" s="3">
        <f t="shared" si="1"/>
        <v>2584.2600000000002</v>
      </c>
    </row>
    <row r="176" spans="1:5" x14ac:dyDescent="0.25">
      <c r="A176" s="3">
        <v>2604.2502073333335</v>
      </c>
      <c r="B176" s="3">
        <v>2548.1799999999998</v>
      </c>
      <c r="C176" s="3">
        <v>2546.2600000000002</v>
      </c>
      <c r="D176" s="3">
        <f t="shared" si="0"/>
        <v>2548.1799999999998</v>
      </c>
      <c r="E176" s="3">
        <f t="shared" si="1"/>
        <v>2578.1799999999998</v>
      </c>
    </row>
    <row r="177" spans="1:5" x14ac:dyDescent="0.25">
      <c r="A177" s="3">
        <v>2608.2430053333333</v>
      </c>
      <c r="B177" s="3">
        <v>2553.04</v>
      </c>
      <c r="C177" s="3">
        <v>2548.48</v>
      </c>
      <c r="D177" s="3">
        <f t="shared" si="0"/>
        <v>2553.04</v>
      </c>
      <c r="E177" s="3">
        <f t="shared" si="1"/>
        <v>2583.04</v>
      </c>
    </row>
    <row r="178" spans="1:5" x14ac:dyDescent="0.25">
      <c r="A178" s="3">
        <v>2602.3068499999999</v>
      </c>
      <c r="B178" s="3">
        <v>2554.5</v>
      </c>
      <c r="C178" s="3">
        <v>2527.7399999999998</v>
      </c>
      <c r="D178" s="3">
        <f t="shared" si="0"/>
        <v>2554.5</v>
      </c>
      <c r="E178" s="3">
        <f t="shared" si="1"/>
        <v>2584.5</v>
      </c>
    </row>
    <row r="179" spans="1:5" x14ac:dyDescent="0.25">
      <c r="A179" s="3">
        <v>2596.7548616666668</v>
      </c>
      <c r="B179" s="3">
        <v>2546.15</v>
      </c>
      <c r="C179" s="3">
        <v>2527.85</v>
      </c>
      <c r="D179" s="3">
        <f t="shared" si="0"/>
        <v>2546.15</v>
      </c>
      <c r="E179" s="3">
        <f t="shared" si="1"/>
        <v>2576.15</v>
      </c>
    </row>
    <row r="180" spans="1:5" x14ac:dyDescent="0.25">
      <c r="A180" s="3">
        <v>2599.6763823333335</v>
      </c>
      <c r="B180" s="3">
        <v>2542.9299999999998</v>
      </c>
      <c r="C180" s="3">
        <v>2543.08</v>
      </c>
      <c r="D180" s="3">
        <f t="shared" si="0"/>
        <v>2543.08</v>
      </c>
      <c r="E180" s="3">
        <f t="shared" si="1"/>
        <v>2573.08</v>
      </c>
    </row>
    <row r="181" spans="1:5" x14ac:dyDescent="0.25">
      <c r="A181" s="8">
        <v>2604.0254323333334</v>
      </c>
      <c r="B181" s="8">
        <v>2551.4299999999998</v>
      </c>
      <c r="C181" s="8">
        <v>2539.06</v>
      </c>
      <c r="D181" s="3">
        <f t="shared" si="0"/>
        <v>2551.4299999999998</v>
      </c>
      <c r="E181" s="3">
        <f t="shared" si="1"/>
        <v>2581.4299999999998</v>
      </c>
    </row>
    <row r="182" spans="1:5" x14ac:dyDescent="0.25">
      <c r="A182" s="3">
        <v>2609.7276906666666</v>
      </c>
      <c r="B182" s="3">
        <v>2563.6799999999998</v>
      </c>
      <c r="C182" s="3">
        <v>2531.5700000000002</v>
      </c>
      <c r="D182" s="3">
        <f t="shared" si="0"/>
        <v>2563.6799999999998</v>
      </c>
      <c r="E182" s="3">
        <f t="shared" si="1"/>
        <v>2593.6799999999998</v>
      </c>
    </row>
    <row r="183" spans="1:5" x14ac:dyDescent="0.25">
      <c r="A183" s="3">
        <v>2634.0631683333336</v>
      </c>
      <c r="B183" s="3">
        <v>2580.9499999999998</v>
      </c>
      <c r="C183" s="3">
        <v>2569.9</v>
      </c>
      <c r="D183" s="3">
        <f t="shared" si="0"/>
        <v>2580.9499999999998</v>
      </c>
      <c r="E183" s="3">
        <f t="shared" si="1"/>
        <v>2610.9499999999998</v>
      </c>
    </row>
    <row r="184" spans="1:5" x14ac:dyDescent="0.25">
      <c r="A184" s="3">
        <v>2683.5951136666663</v>
      </c>
      <c r="B184" s="3">
        <v>2629.79</v>
      </c>
      <c r="C184" s="3">
        <v>2620.4299999999998</v>
      </c>
      <c r="D184" s="3">
        <f t="shared" si="0"/>
        <v>2629.79</v>
      </c>
      <c r="E184" s="3">
        <f t="shared" si="1"/>
        <v>2659.79</v>
      </c>
    </row>
    <row r="185" spans="1:5" x14ac:dyDescent="0.25">
      <c r="A185" s="3">
        <v>2736.160030333333</v>
      </c>
      <c r="B185" s="3">
        <v>2682.29</v>
      </c>
      <c r="C185" s="3">
        <v>2672.71</v>
      </c>
      <c r="D185" s="3">
        <f t="shared" si="0"/>
        <v>2682.29</v>
      </c>
      <c r="E185" s="3">
        <f t="shared" si="1"/>
        <v>2712.29</v>
      </c>
    </row>
    <row r="186" spans="1:5" x14ac:dyDescent="0.25">
      <c r="A186" s="3">
        <v>2780.9602836666668</v>
      </c>
      <c r="B186" s="3">
        <v>2726.69</v>
      </c>
      <c r="C186" s="3">
        <v>2717.96</v>
      </c>
      <c r="D186" s="3">
        <f t="shared" si="0"/>
        <v>2726.69</v>
      </c>
      <c r="E186" s="3">
        <f t="shared" si="1"/>
        <v>2756.69</v>
      </c>
    </row>
    <row r="187" spans="1:5" x14ac:dyDescent="0.25">
      <c r="A187" s="3">
        <v>2784.4528773333332</v>
      </c>
      <c r="B187" s="3">
        <v>2720.08</v>
      </c>
      <c r="C187" s="3">
        <v>2741.71</v>
      </c>
      <c r="D187" s="3">
        <f t="shared" si="0"/>
        <v>2741.71</v>
      </c>
      <c r="E187" s="3">
        <f t="shared" si="1"/>
        <v>2771.71</v>
      </c>
    </row>
    <row r="188" spans="1:5" x14ac:dyDescent="0.25">
      <c r="A188" s="3">
        <v>2764.5972593333336</v>
      </c>
      <c r="B188" s="3">
        <v>2707.82</v>
      </c>
      <c r="C188" s="3">
        <v>2706.76</v>
      </c>
      <c r="D188" s="3">
        <f t="shared" si="0"/>
        <v>2707.82</v>
      </c>
      <c r="E188" s="3">
        <f t="shared" si="1"/>
        <v>2737.82</v>
      </c>
    </row>
    <row r="189" spans="1:5" x14ac:dyDescent="0.25">
      <c r="A189" s="3">
        <v>2754.9196666666667</v>
      </c>
      <c r="B189" s="3">
        <v>2710</v>
      </c>
      <c r="C189" s="3">
        <v>2673.35</v>
      </c>
      <c r="D189" s="3">
        <f t="shared" si="0"/>
        <v>2710</v>
      </c>
      <c r="E189" s="3">
        <f t="shared" si="1"/>
        <v>2740</v>
      </c>
    </row>
    <row r="190" spans="1:5" x14ac:dyDescent="0.25">
      <c r="A190" s="3">
        <v>2759.583983</v>
      </c>
      <c r="B190" s="3">
        <v>2705.31</v>
      </c>
      <c r="C190" s="3">
        <v>2696.76</v>
      </c>
      <c r="D190" s="3">
        <f t="shared" si="0"/>
        <v>2705.31</v>
      </c>
      <c r="E190" s="3">
        <f t="shared" si="1"/>
        <v>2735.31</v>
      </c>
    </row>
    <row r="191" spans="1:5" x14ac:dyDescent="0.25">
      <c r="A191" s="3">
        <v>2792.44947</v>
      </c>
      <c r="B191" s="3">
        <v>2747.9</v>
      </c>
      <c r="C191" s="3">
        <v>2709.84</v>
      </c>
      <c r="D191" s="3">
        <f t="shared" si="0"/>
        <v>2747.9</v>
      </c>
      <c r="E191" s="3">
        <f t="shared" si="1"/>
        <v>2777.9</v>
      </c>
    </row>
    <row r="192" spans="1:5" x14ac:dyDescent="0.25">
      <c r="A192" s="3">
        <v>2792.9454893333336</v>
      </c>
      <c r="B192" s="3">
        <v>2748.92</v>
      </c>
      <c r="C192" s="3">
        <v>2709.28</v>
      </c>
      <c r="D192" s="3">
        <f t="shared" si="0"/>
        <v>2748.92</v>
      </c>
      <c r="E192" s="3">
        <f t="shared" si="1"/>
        <v>2778.92</v>
      </c>
    </row>
    <row r="193" spans="1:5" x14ac:dyDescent="0.25">
      <c r="A193" s="3">
        <v>2787.7574006666669</v>
      </c>
      <c r="B193" s="3">
        <v>2748.38</v>
      </c>
      <c r="C193" s="3">
        <v>2694.8</v>
      </c>
      <c r="D193" s="3">
        <f t="shared" si="0"/>
        <v>2748.38</v>
      </c>
      <c r="E193" s="3">
        <f t="shared" si="1"/>
        <v>2778.38</v>
      </c>
    </row>
    <row r="194" spans="1:5" x14ac:dyDescent="0.25">
      <c r="A194" s="9">
        <v>2750.6463333333336</v>
      </c>
      <c r="B194" s="9">
        <v>2710.45</v>
      </c>
      <c r="C194" s="9">
        <v>2660.08</v>
      </c>
      <c r="D194" s="3">
        <f t="shared" ref="D194:D225" si="2">MAX(B194:C194)</f>
        <v>2710.45</v>
      </c>
      <c r="E194" s="3">
        <f t="shared" ref="E194:E225" si="3">30+D194</f>
        <v>2740.45</v>
      </c>
    </row>
    <row r="195" spans="1:5" x14ac:dyDescent="0.25">
      <c r="A195" s="3">
        <v>2699.4440500000001</v>
      </c>
      <c r="B195" s="3">
        <v>2639.04</v>
      </c>
      <c r="C195" s="3">
        <v>2595.86</v>
      </c>
      <c r="D195" s="3">
        <f t="shared" si="2"/>
        <v>2639.04</v>
      </c>
      <c r="E195" s="3">
        <f t="shared" si="3"/>
        <v>2669.04</v>
      </c>
    </row>
    <row r="196" spans="1:5" x14ac:dyDescent="0.25">
      <c r="A196" s="3">
        <v>2670.5495000000001</v>
      </c>
      <c r="B196" s="3">
        <v>2610.48</v>
      </c>
      <c r="C196" s="3">
        <v>2614.7199999999998</v>
      </c>
      <c r="D196" s="3">
        <f t="shared" si="2"/>
        <v>2614.7199999999998</v>
      </c>
      <c r="E196" s="3">
        <f t="shared" si="3"/>
        <v>2644.72</v>
      </c>
    </row>
    <row r="197" spans="1:5" x14ac:dyDescent="0.25">
      <c r="A197" s="3">
        <v>2704.87</v>
      </c>
      <c r="B197" s="3">
        <v>2608.7399999999998</v>
      </c>
      <c r="C197" s="3">
        <v>2585.31</v>
      </c>
      <c r="D197" s="3">
        <f t="shared" si="2"/>
        <v>2608.7399999999998</v>
      </c>
      <c r="E197" s="3">
        <f t="shared" si="3"/>
        <v>2638.74</v>
      </c>
    </row>
    <row r="198" spans="1:5" x14ac:dyDescent="0.25">
      <c r="A198" s="3">
        <v>2693.3150000000001</v>
      </c>
      <c r="B198" s="3">
        <v>2596.63</v>
      </c>
      <c r="C198" s="3">
        <v>2567.92</v>
      </c>
      <c r="D198" s="3">
        <f t="shared" si="2"/>
        <v>2596.63</v>
      </c>
      <c r="E198" s="3">
        <f t="shared" si="3"/>
        <v>2626.63</v>
      </c>
    </row>
    <row r="199" spans="1:5" x14ac:dyDescent="0.25">
      <c r="A199" s="3">
        <v>2664.4971999999998</v>
      </c>
      <c r="B199" s="3">
        <v>2572.17</v>
      </c>
      <c r="C199" s="3">
        <v>2555</v>
      </c>
      <c r="D199" s="3">
        <f t="shared" si="2"/>
        <v>2572.17</v>
      </c>
      <c r="E199" s="3">
        <f t="shared" si="3"/>
        <v>2602.17</v>
      </c>
    </row>
    <row r="200" spans="1:5" x14ac:dyDescent="0.25">
      <c r="A200" s="3">
        <v>2643.5974000000001</v>
      </c>
      <c r="B200" s="3">
        <v>2554.56</v>
      </c>
      <c r="C200" s="3">
        <v>2543</v>
      </c>
      <c r="D200" s="3">
        <f t="shared" si="2"/>
        <v>2554.56</v>
      </c>
      <c r="E200" s="3">
        <f t="shared" si="3"/>
        <v>2584.56</v>
      </c>
    </row>
    <row r="201" spans="1:5" x14ac:dyDescent="0.25">
      <c r="A201" s="3">
        <v>2621.0146999999997</v>
      </c>
      <c r="B201" s="3">
        <v>2535.6</v>
      </c>
      <c r="C201" s="3">
        <v>2535</v>
      </c>
      <c r="D201" s="3">
        <f t="shared" si="2"/>
        <v>2535.6</v>
      </c>
      <c r="E201" s="3">
        <f t="shared" si="3"/>
        <v>2565.6</v>
      </c>
    </row>
    <row r="202" spans="1:5" x14ac:dyDescent="0.25">
      <c r="A202" s="8">
        <v>2615.6096500000003</v>
      </c>
      <c r="B202" s="8">
        <v>2543.94</v>
      </c>
      <c r="C202" s="8">
        <v>2523</v>
      </c>
      <c r="D202" s="3">
        <f t="shared" si="2"/>
        <v>2543.94</v>
      </c>
      <c r="E202" s="3">
        <f t="shared" si="3"/>
        <v>2573.94</v>
      </c>
    </row>
    <row r="203" spans="1:5" x14ac:dyDescent="0.25">
      <c r="A203" s="3">
        <v>2594.1522</v>
      </c>
      <c r="B203" s="3">
        <v>2532.27</v>
      </c>
      <c r="C203" s="3">
        <v>2517</v>
      </c>
      <c r="D203" s="3">
        <f t="shared" si="2"/>
        <v>2532.27</v>
      </c>
      <c r="E203" s="3">
        <f t="shared" si="3"/>
        <v>2562.27</v>
      </c>
    </row>
    <row r="204" spans="1:5" x14ac:dyDescent="0.25">
      <c r="A204" s="3">
        <v>2596.08455</v>
      </c>
      <c r="B204" s="3">
        <v>2543.19</v>
      </c>
      <c r="C204" s="3">
        <v>2540</v>
      </c>
      <c r="D204" s="3">
        <f t="shared" si="2"/>
        <v>2543.19</v>
      </c>
      <c r="E204" s="3">
        <f t="shared" si="3"/>
        <v>2573.19</v>
      </c>
    </row>
    <row r="205" spans="1:5" x14ac:dyDescent="0.25">
      <c r="A205" s="3">
        <v>2591.12165</v>
      </c>
      <c r="B205" s="3">
        <v>2535.2800000000002</v>
      </c>
      <c r="C205" s="3">
        <v>2543</v>
      </c>
      <c r="D205" s="3">
        <f t="shared" si="2"/>
        <v>2543</v>
      </c>
      <c r="E205" s="3">
        <f t="shared" si="3"/>
        <v>2573</v>
      </c>
    </row>
    <row r="206" spans="1:5" x14ac:dyDescent="0.25">
      <c r="A206" s="3">
        <v>2562.3879000000002</v>
      </c>
      <c r="B206" s="3">
        <v>2503.0100000000002</v>
      </c>
      <c r="C206" s="3">
        <v>2523</v>
      </c>
      <c r="D206" s="3">
        <f t="shared" si="2"/>
        <v>2523</v>
      </c>
      <c r="E206" s="3">
        <f t="shared" si="3"/>
        <v>2553</v>
      </c>
    </row>
    <row r="207" spans="1:5" x14ac:dyDescent="0.25">
      <c r="A207" s="3">
        <v>2569.3126999999999</v>
      </c>
      <c r="B207" s="3">
        <v>2492.67</v>
      </c>
      <c r="C207" s="3">
        <v>2516</v>
      </c>
      <c r="D207" s="3">
        <f t="shared" si="2"/>
        <v>2516</v>
      </c>
      <c r="E207" s="3">
        <f t="shared" si="3"/>
        <v>2546</v>
      </c>
    </row>
    <row r="208" spans="1:5" x14ac:dyDescent="0.25">
      <c r="A208" s="3">
        <v>2559.78215</v>
      </c>
      <c r="B208" s="3">
        <v>2482.6799999999998</v>
      </c>
      <c r="C208" s="3">
        <v>2503</v>
      </c>
      <c r="D208" s="3">
        <f t="shared" si="2"/>
        <v>2503</v>
      </c>
      <c r="E208" s="3">
        <f t="shared" si="3"/>
        <v>2533</v>
      </c>
    </row>
    <row r="209" spans="1:5" x14ac:dyDescent="0.25">
      <c r="A209" s="3">
        <v>2555.9245000000001</v>
      </c>
      <c r="B209" s="3">
        <v>2482.02</v>
      </c>
      <c r="C209" s="3">
        <v>2501</v>
      </c>
      <c r="D209" s="3">
        <f t="shared" si="2"/>
        <v>2501</v>
      </c>
      <c r="E209" s="3">
        <f t="shared" si="3"/>
        <v>2531</v>
      </c>
    </row>
    <row r="210" spans="1:5" x14ac:dyDescent="0.25">
      <c r="A210" s="3">
        <v>2555.6598000000004</v>
      </c>
      <c r="B210" s="3">
        <v>2467.38</v>
      </c>
      <c r="C210" s="3">
        <v>2498</v>
      </c>
      <c r="D210" s="3">
        <f t="shared" si="2"/>
        <v>2498</v>
      </c>
      <c r="E210" s="3">
        <f t="shared" si="3"/>
        <v>2528</v>
      </c>
    </row>
    <row r="211" spans="1:5" x14ac:dyDescent="0.25">
      <c r="A211" s="3">
        <v>2537.3173999999999</v>
      </c>
      <c r="B211" s="3">
        <v>2442.79</v>
      </c>
      <c r="C211" s="3">
        <v>2425</v>
      </c>
      <c r="D211" s="3">
        <f t="shared" si="2"/>
        <v>2442.79</v>
      </c>
      <c r="E211" s="3">
        <f t="shared" si="3"/>
        <v>2472.79</v>
      </c>
    </row>
    <row r="212" spans="1:5" x14ac:dyDescent="0.25">
      <c r="A212" s="3">
        <v>2530.6970999999999</v>
      </c>
      <c r="B212" s="3">
        <v>2443.66</v>
      </c>
      <c r="C212" s="3">
        <v>2432</v>
      </c>
      <c r="D212" s="3">
        <f t="shared" si="2"/>
        <v>2443.66</v>
      </c>
      <c r="E212" s="3">
        <f t="shared" si="3"/>
        <v>2473.66</v>
      </c>
    </row>
    <row r="213" spans="1:5" x14ac:dyDescent="0.25">
      <c r="A213" s="3">
        <v>2530.9981500000004</v>
      </c>
      <c r="B213" s="3">
        <v>2445.27</v>
      </c>
      <c r="C213" s="3">
        <v>2432</v>
      </c>
      <c r="D213" s="3">
        <f t="shared" si="2"/>
        <v>2445.27</v>
      </c>
      <c r="E213" s="3">
        <f t="shared" si="3"/>
        <v>2475.27</v>
      </c>
    </row>
    <row r="214" spans="1:5" x14ac:dyDescent="0.25">
      <c r="A214" s="3">
        <v>2555.8008500000001</v>
      </c>
      <c r="B214" s="3">
        <v>2468.67</v>
      </c>
      <c r="C214" s="3">
        <v>2418</v>
      </c>
      <c r="D214" s="3">
        <f t="shared" si="2"/>
        <v>2468.67</v>
      </c>
      <c r="E214" s="3">
        <f t="shared" si="3"/>
        <v>2498.67</v>
      </c>
    </row>
    <row r="215" spans="1:5" x14ac:dyDescent="0.25">
      <c r="A215" s="3">
        <v>2592.7096000000001</v>
      </c>
      <c r="B215" s="3">
        <v>2517.29</v>
      </c>
      <c r="C215" s="3">
        <v>2413</v>
      </c>
      <c r="D215" s="3">
        <f t="shared" si="2"/>
        <v>2517.29</v>
      </c>
      <c r="E215" s="3">
        <f t="shared" si="3"/>
        <v>2547.29</v>
      </c>
    </row>
    <row r="216" spans="1:5" x14ac:dyDescent="0.25">
      <c r="A216" s="3">
        <v>2586.3276999999998</v>
      </c>
      <c r="B216" s="3">
        <v>2526.6999999999998</v>
      </c>
      <c r="C216" s="3">
        <v>2407</v>
      </c>
      <c r="D216" s="3">
        <f t="shared" si="2"/>
        <v>2526.6999999999998</v>
      </c>
      <c r="E216" s="3">
        <f t="shared" si="3"/>
        <v>2556.6999999999998</v>
      </c>
    </row>
    <row r="217" spans="1:5" x14ac:dyDescent="0.25">
      <c r="A217" s="3">
        <v>2582.6639999999998</v>
      </c>
      <c r="B217" s="3">
        <v>2525.42</v>
      </c>
      <c r="C217" s="3">
        <v>2426</v>
      </c>
      <c r="D217" s="3">
        <f t="shared" si="2"/>
        <v>2525.42</v>
      </c>
      <c r="E217" s="3">
        <f t="shared" si="3"/>
        <v>2555.42</v>
      </c>
    </row>
    <row r="218" spans="1:5" x14ac:dyDescent="0.25">
      <c r="A218" s="3">
        <v>2576.4682499999999</v>
      </c>
      <c r="B218" s="3">
        <v>2497.91</v>
      </c>
      <c r="C218" s="3">
        <v>2348</v>
      </c>
      <c r="D218" s="3">
        <f t="shared" si="2"/>
        <v>2497.91</v>
      </c>
      <c r="E218" s="3">
        <f t="shared" si="3"/>
        <v>2527.91</v>
      </c>
    </row>
    <row r="219" spans="1:5" x14ac:dyDescent="0.25">
      <c r="A219" s="3">
        <v>2584.3388</v>
      </c>
      <c r="B219" s="3">
        <v>2504.58</v>
      </c>
      <c r="C219" s="3">
        <v>2329</v>
      </c>
      <c r="D219" s="3">
        <f t="shared" si="2"/>
        <v>2504.58</v>
      </c>
      <c r="E219" s="3">
        <f t="shared" si="3"/>
        <v>2534.58</v>
      </c>
    </row>
    <row r="220" spans="1:5" x14ac:dyDescent="0.25">
      <c r="A220" s="3">
        <v>2556.4701500000001</v>
      </c>
      <c r="B220" s="3">
        <v>2435.7399999999998</v>
      </c>
      <c r="C220" s="3">
        <v>2324</v>
      </c>
      <c r="D220" s="3">
        <f t="shared" si="2"/>
        <v>2435.7399999999998</v>
      </c>
      <c r="E220" s="3">
        <f t="shared" si="3"/>
        <v>2465.7399999999998</v>
      </c>
    </row>
    <row r="221" spans="1:5" x14ac:dyDescent="0.25">
      <c r="A221" s="3">
        <v>2547.6630500000001</v>
      </c>
      <c r="B221" s="3">
        <v>2416.11</v>
      </c>
      <c r="C221" s="3">
        <v>2336</v>
      </c>
      <c r="D221" s="3">
        <f t="shared" si="2"/>
        <v>2416.11</v>
      </c>
      <c r="E221" s="3">
        <f t="shared" si="3"/>
        <v>2446.11</v>
      </c>
    </row>
    <row r="222" spans="1:5" x14ac:dyDescent="0.25">
      <c r="A222" s="3">
        <v>2549.3612000000003</v>
      </c>
      <c r="B222" s="3">
        <v>2422.5300000000002</v>
      </c>
      <c r="C222" s="3">
        <v>2349</v>
      </c>
      <c r="D222" s="3">
        <f t="shared" si="2"/>
        <v>2422.5300000000002</v>
      </c>
      <c r="E222" s="3">
        <f t="shared" si="3"/>
        <v>2452.5300000000002</v>
      </c>
    </row>
    <row r="223" spans="1:5" x14ac:dyDescent="0.25">
      <c r="A223" s="3">
        <v>2540.4556499999999</v>
      </c>
      <c r="B223" s="3">
        <v>2413.79</v>
      </c>
      <c r="C223" s="3">
        <v>2354</v>
      </c>
      <c r="D223" s="3">
        <f t="shared" si="2"/>
        <v>2413.79</v>
      </c>
      <c r="E223" s="3">
        <f t="shared" si="3"/>
        <v>2443.79</v>
      </c>
    </row>
    <row r="224" spans="1:5" x14ac:dyDescent="0.25">
      <c r="A224" s="3">
        <v>2500.6242999999999</v>
      </c>
      <c r="B224" s="3">
        <v>2347.23</v>
      </c>
      <c r="C224" s="3">
        <v>2332</v>
      </c>
      <c r="D224" s="3">
        <f t="shared" si="2"/>
        <v>2347.23</v>
      </c>
      <c r="E224" s="3">
        <f t="shared" si="3"/>
        <v>2377.23</v>
      </c>
    </row>
    <row r="225" spans="1:5" x14ac:dyDescent="0.25">
      <c r="A225" s="3">
        <v>2503.1519499999999</v>
      </c>
      <c r="B225" s="3">
        <v>2345.23</v>
      </c>
      <c r="C225" s="3">
        <v>2358</v>
      </c>
      <c r="D225" s="3">
        <f t="shared" si="2"/>
        <v>2358</v>
      </c>
      <c r="E225" s="3">
        <f t="shared" si="3"/>
        <v>2388</v>
      </c>
    </row>
    <row r="226" spans="1:5" x14ac:dyDescent="0.25">
      <c r="A226" s="3">
        <v>2460.8266000000003</v>
      </c>
      <c r="B226" s="3">
        <v>2293.84</v>
      </c>
      <c r="C226" s="3">
        <v>2329</v>
      </c>
      <c r="D226" s="3">
        <f t="shared" ref="D226:D257" si="4">MAX(B226:C226)</f>
        <v>2329</v>
      </c>
      <c r="E226" s="3">
        <f t="shared" ref="E226:E257" si="5">30+D226</f>
        <v>2359</v>
      </c>
    </row>
    <row r="227" spans="1:5" x14ac:dyDescent="0.25">
      <c r="A227" s="3">
        <v>2450.3407999999999</v>
      </c>
      <c r="B227" s="3">
        <v>2276.9</v>
      </c>
      <c r="C227" s="3">
        <v>2310</v>
      </c>
      <c r="D227" s="3">
        <f t="shared" si="4"/>
        <v>2310</v>
      </c>
      <c r="E227" s="3">
        <f t="shared" si="5"/>
        <v>2340</v>
      </c>
    </row>
    <row r="228" spans="1:5" x14ac:dyDescent="0.25">
      <c r="A228" s="3">
        <v>2451.7197000000001</v>
      </c>
      <c r="B228" s="3">
        <v>2297.8000000000002</v>
      </c>
      <c r="C228" s="3">
        <v>2297</v>
      </c>
      <c r="D228" s="3">
        <f t="shared" si="4"/>
        <v>2297.8000000000002</v>
      </c>
      <c r="E228" s="3">
        <f t="shared" si="5"/>
        <v>2327.8000000000002</v>
      </c>
    </row>
    <row r="229" spans="1:5" x14ac:dyDescent="0.25">
      <c r="A229" s="3">
        <v>2443.23225</v>
      </c>
      <c r="B229" s="3">
        <v>2312.0700000000002</v>
      </c>
      <c r="C229" s="3">
        <v>2255.2600000000002</v>
      </c>
      <c r="D229" s="3">
        <f t="shared" si="4"/>
        <v>2312.0700000000002</v>
      </c>
      <c r="E229" s="3">
        <f t="shared" si="5"/>
        <v>2342.0700000000002</v>
      </c>
    </row>
    <row r="230" spans="1:5" x14ac:dyDescent="0.25">
      <c r="A230" s="3">
        <v>2422.6574500000002</v>
      </c>
      <c r="B230" s="3">
        <v>2295.11</v>
      </c>
      <c r="C230" s="3">
        <v>2225.83</v>
      </c>
      <c r="D230" s="3">
        <f t="shared" si="4"/>
        <v>2295.11</v>
      </c>
      <c r="E230" s="3">
        <f t="shared" si="5"/>
        <v>2325.11</v>
      </c>
    </row>
    <row r="231" spans="1:5" x14ac:dyDescent="0.25">
      <c r="A231" s="3">
        <v>2438.9694</v>
      </c>
      <c r="B231" s="3">
        <v>2286.41</v>
      </c>
      <c r="C231" s="3">
        <v>2228.46</v>
      </c>
      <c r="D231" s="3">
        <f t="shared" si="4"/>
        <v>2286.41</v>
      </c>
      <c r="E231" s="3">
        <f t="shared" si="5"/>
        <v>2316.41</v>
      </c>
    </row>
    <row r="232" spans="1:5" x14ac:dyDescent="0.25">
      <c r="A232" s="3">
        <v>2477.5405000000001</v>
      </c>
      <c r="B232" s="3">
        <v>2345.41</v>
      </c>
      <c r="C232" s="3">
        <v>2233.21</v>
      </c>
      <c r="D232" s="3">
        <f t="shared" si="4"/>
        <v>2345.41</v>
      </c>
      <c r="E232" s="3">
        <f t="shared" si="5"/>
        <v>2375.41</v>
      </c>
    </row>
    <row r="233" spans="1:5" x14ac:dyDescent="0.25">
      <c r="A233" s="9">
        <v>2474.4283999999998</v>
      </c>
      <c r="B233" s="9">
        <v>2337.17</v>
      </c>
      <c r="C233" s="9">
        <v>2199.5300000000002</v>
      </c>
      <c r="D233" s="3">
        <f t="shared" si="4"/>
        <v>2337.17</v>
      </c>
      <c r="E233" s="3">
        <f t="shared" si="5"/>
        <v>2367.17</v>
      </c>
    </row>
    <row r="234" spans="1:5" x14ac:dyDescent="0.25">
      <c r="A234" s="8">
        <v>2454.1196500000001</v>
      </c>
      <c r="B234" s="8">
        <v>2321.75</v>
      </c>
      <c r="C234" s="8">
        <v>2064.1</v>
      </c>
      <c r="D234" s="3">
        <f t="shared" si="4"/>
        <v>2321.75</v>
      </c>
      <c r="E234" s="3">
        <f t="shared" si="5"/>
        <v>2351.75</v>
      </c>
    </row>
    <row r="235" spans="1:5" x14ac:dyDescent="0.25">
      <c r="A235" s="3">
        <v>2428.5472</v>
      </c>
      <c r="B235" s="3">
        <v>2301.85</v>
      </c>
      <c r="C235" s="3">
        <v>1927.47</v>
      </c>
      <c r="D235" s="3">
        <f t="shared" si="4"/>
        <v>2301.85</v>
      </c>
      <c r="E235" s="3">
        <f t="shared" si="5"/>
        <v>2331.85</v>
      </c>
    </row>
    <row r="236" spans="1:5" x14ac:dyDescent="0.25">
      <c r="A236" s="3">
        <v>2414.0661</v>
      </c>
      <c r="B236" s="3">
        <v>2291.0300000000002</v>
      </c>
      <c r="C236" s="3">
        <v>2107.9899999999998</v>
      </c>
      <c r="D236" s="3">
        <f t="shared" si="4"/>
        <v>2291.0300000000002</v>
      </c>
      <c r="E236" s="3">
        <f t="shared" si="5"/>
        <v>2321.0300000000002</v>
      </c>
    </row>
    <row r="237" spans="1:5" x14ac:dyDescent="0.25">
      <c r="A237" s="3">
        <v>2415.5279499999997</v>
      </c>
      <c r="B237" s="3">
        <v>2290.9299999999998</v>
      </c>
      <c r="C237" s="3">
        <v>2244.9899999999998</v>
      </c>
      <c r="D237" s="3">
        <f t="shared" si="4"/>
        <v>2290.9299999999998</v>
      </c>
      <c r="E237" s="3">
        <f t="shared" si="5"/>
        <v>2320.9299999999998</v>
      </c>
    </row>
    <row r="238" spans="1:5" x14ac:dyDescent="0.25">
      <c r="A238" s="3">
        <v>2453.8923</v>
      </c>
      <c r="B238" s="3">
        <v>2314.2399999999998</v>
      </c>
      <c r="C238" s="3">
        <v>2334.25</v>
      </c>
      <c r="D238" s="3">
        <f t="shared" si="4"/>
        <v>2334.25</v>
      </c>
      <c r="E238" s="3">
        <f t="shared" si="5"/>
        <v>2364.25</v>
      </c>
    </row>
    <row r="239" spans="1:5" x14ac:dyDescent="0.25">
      <c r="A239" s="3">
        <v>2509.3263999999999</v>
      </c>
      <c r="B239" s="3">
        <v>2366.65</v>
      </c>
      <c r="C239" s="3">
        <v>2402.09</v>
      </c>
      <c r="D239" s="3">
        <f t="shared" si="4"/>
        <v>2402.09</v>
      </c>
      <c r="E239" s="3">
        <f t="shared" si="5"/>
        <v>2432.09</v>
      </c>
    </row>
    <row r="240" spans="1:5" x14ac:dyDescent="0.25">
      <c r="A240" s="3">
        <v>2590.6629000000003</v>
      </c>
      <c r="B240" s="3">
        <v>2458.77</v>
      </c>
      <c r="C240" s="3">
        <v>2495.36</v>
      </c>
      <c r="D240" s="3">
        <f t="shared" si="4"/>
        <v>2495.36</v>
      </c>
      <c r="E240" s="3">
        <f t="shared" si="5"/>
        <v>2525.36</v>
      </c>
    </row>
    <row r="241" spans="1:5" x14ac:dyDescent="0.25">
      <c r="A241" s="3">
        <v>2700.9158500000003</v>
      </c>
      <c r="B241" s="3">
        <v>2557.3200000000002</v>
      </c>
      <c r="C241" s="3">
        <v>2596.9</v>
      </c>
      <c r="D241" s="3">
        <f t="shared" si="4"/>
        <v>2596.9</v>
      </c>
      <c r="E241" s="3">
        <f t="shared" si="5"/>
        <v>2626.9</v>
      </c>
    </row>
    <row r="242" spans="1:5" x14ac:dyDescent="0.25">
      <c r="A242" s="3">
        <v>2759.04</v>
      </c>
      <c r="B242" s="3">
        <v>2595.96</v>
      </c>
      <c r="C242" s="3">
        <v>2673.59</v>
      </c>
      <c r="D242" s="3">
        <f t="shared" si="4"/>
        <v>2673.59</v>
      </c>
      <c r="E242" s="3">
        <f t="shared" si="5"/>
        <v>2703.59</v>
      </c>
    </row>
    <row r="243" spans="1:5" x14ac:dyDescent="0.25">
      <c r="A243" s="3">
        <v>2775.9377000000004</v>
      </c>
      <c r="B243" s="3">
        <v>2603.5500000000002</v>
      </c>
      <c r="C243" s="3">
        <v>2699.92</v>
      </c>
      <c r="D243" s="3">
        <f t="shared" si="4"/>
        <v>2699.92</v>
      </c>
      <c r="E243" s="3">
        <f t="shared" si="5"/>
        <v>2729.92</v>
      </c>
    </row>
    <row r="244" spans="1:5" x14ac:dyDescent="0.25">
      <c r="A244" s="3">
        <v>2761.4918500000003</v>
      </c>
      <c r="B244" s="3">
        <v>2597.84</v>
      </c>
      <c r="C244" s="3">
        <v>2697.04</v>
      </c>
      <c r="D244" s="3">
        <f t="shared" si="4"/>
        <v>2697.04</v>
      </c>
      <c r="E244" s="3">
        <f t="shared" si="5"/>
        <v>2727.04</v>
      </c>
    </row>
    <row r="245" spans="1:5" x14ac:dyDescent="0.25">
      <c r="A245" s="3">
        <v>2751.8768</v>
      </c>
      <c r="B245" s="3">
        <v>2597.7600000000002</v>
      </c>
      <c r="C245" s="3">
        <v>2662.34</v>
      </c>
      <c r="D245" s="3">
        <f t="shared" si="4"/>
        <v>2662.34</v>
      </c>
      <c r="E245" s="3">
        <f t="shared" si="5"/>
        <v>2692.34</v>
      </c>
    </row>
    <row r="246" spans="1:5" x14ac:dyDescent="0.25">
      <c r="A246" s="3">
        <v>2744.0509999999999</v>
      </c>
      <c r="B246" s="3">
        <v>2586.14</v>
      </c>
      <c r="C246" s="3">
        <v>2667.3</v>
      </c>
      <c r="D246" s="3">
        <f t="shared" si="4"/>
        <v>2667.3</v>
      </c>
      <c r="E246" s="3">
        <f t="shared" si="5"/>
        <v>2697.3</v>
      </c>
    </row>
    <row r="247" spans="1:5" x14ac:dyDescent="0.25">
      <c r="A247" s="3">
        <v>2727.9769999999999</v>
      </c>
      <c r="B247" s="3">
        <v>2574.15</v>
      </c>
      <c r="C247" s="3">
        <v>2658</v>
      </c>
      <c r="D247" s="3">
        <f t="shared" si="4"/>
        <v>2658</v>
      </c>
      <c r="E247" s="3">
        <f t="shared" si="5"/>
        <v>2688</v>
      </c>
    </row>
    <row r="248" spans="1:5" x14ac:dyDescent="0.25">
      <c r="A248" s="3">
        <v>2709.4630000000002</v>
      </c>
      <c r="B248" s="3">
        <v>2557.2800000000002</v>
      </c>
      <c r="C248" s="3">
        <v>2674.22</v>
      </c>
      <c r="D248" s="3">
        <f t="shared" si="4"/>
        <v>2674.22</v>
      </c>
      <c r="E248" s="3">
        <f t="shared" si="5"/>
        <v>2704.22</v>
      </c>
    </row>
    <row r="249" spans="1:5" x14ac:dyDescent="0.25">
      <c r="A249" s="8">
        <v>2728.12835</v>
      </c>
      <c r="B249" s="8">
        <v>2561.35</v>
      </c>
      <c r="C249" s="8">
        <v>2684.17</v>
      </c>
      <c r="D249" s="3">
        <f t="shared" si="4"/>
        <v>2684.17</v>
      </c>
      <c r="E249" s="3">
        <f t="shared" si="5"/>
        <v>2714.17</v>
      </c>
    </row>
    <row r="250" spans="1:5" x14ac:dyDescent="0.25">
      <c r="A250" s="3">
        <v>2737.1136500000002</v>
      </c>
      <c r="B250" s="3">
        <v>2565.21</v>
      </c>
      <c r="C250" s="3">
        <v>2709.09</v>
      </c>
      <c r="D250" s="3">
        <f t="shared" si="4"/>
        <v>2709.09</v>
      </c>
      <c r="E250" s="3">
        <f t="shared" si="5"/>
        <v>2739.09</v>
      </c>
    </row>
    <row r="251" spans="1:5" x14ac:dyDescent="0.25">
      <c r="A251" s="3">
        <v>2742.826</v>
      </c>
      <c r="B251" s="3">
        <v>2583.69</v>
      </c>
      <c r="C251" s="3">
        <v>2722.92</v>
      </c>
      <c r="D251" s="3">
        <f t="shared" si="4"/>
        <v>2722.92</v>
      </c>
      <c r="E251" s="3">
        <f t="shared" si="5"/>
        <v>2752.92</v>
      </c>
    </row>
    <row r="252" spans="1:5" x14ac:dyDescent="0.25">
      <c r="A252" s="3">
        <v>2781.0305499999999</v>
      </c>
      <c r="B252" s="3">
        <v>2630.87</v>
      </c>
      <c r="C252" s="3">
        <v>2758.41</v>
      </c>
      <c r="D252" s="3">
        <f t="shared" si="4"/>
        <v>2758.41</v>
      </c>
      <c r="E252" s="3">
        <f t="shared" si="5"/>
        <v>2788.41</v>
      </c>
    </row>
    <row r="253" spans="1:5" x14ac:dyDescent="0.25">
      <c r="A253" s="3">
        <v>2806.0385500000002</v>
      </c>
      <c r="B253" s="3">
        <v>2640.57</v>
      </c>
      <c r="C253" s="3">
        <v>2774.07</v>
      </c>
      <c r="D253" s="3">
        <f t="shared" si="4"/>
        <v>2774.07</v>
      </c>
      <c r="E253" s="3">
        <f t="shared" si="5"/>
        <v>2804.07</v>
      </c>
    </row>
    <row r="254" spans="1:5" x14ac:dyDescent="0.25">
      <c r="A254" s="3">
        <v>2840.0749500000002</v>
      </c>
      <c r="B254" s="3">
        <v>2676.39</v>
      </c>
      <c r="C254" s="3">
        <v>2809.2</v>
      </c>
      <c r="D254" s="3">
        <f t="shared" si="4"/>
        <v>2809.2</v>
      </c>
      <c r="E254" s="3">
        <f t="shared" si="5"/>
        <v>2839.2</v>
      </c>
    </row>
    <row r="255" spans="1:5" x14ac:dyDescent="0.25">
      <c r="A255" s="3">
        <v>2830.5956999999999</v>
      </c>
      <c r="B255" s="3">
        <v>2672.55</v>
      </c>
      <c r="C255" s="3">
        <v>2798.07</v>
      </c>
      <c r="D255" s="3">
        <f t="shared" si="4"/>
        <v>2798.07</v>
      </c>
      <c r="E255" s="3">
        <f t="shared" si="5"/>
        <v>2828.07</v>
      </c>
    </row>
    <row r="256" spans="1:5" x14ac:dyDescent="0.25">
      <c r="A256" s="3">
        <v>2820.7085500000003</v>
      </c>
      <c r="B256" s="3">
        <v>2669.91</v>
      </c>
      <c r="C256" s="3">
        <v>2801.72</v>
      </c>
      <c r="D256" s="3">
        <f t="shared" si="4"/>
        <v>2801.72</v>
      </c>
      <c r="E256" s="3">
        <f t="shared" si="5"/>
        <v>2831.72</v>
      </c>
    </row>
    <row r="257" spans="1:5" x14ac:dyDescent="0.25">
      <c r="A257" s="3">
        <v>2811.5353999999998</v>
      </c>
      <c r="B257" s="3">
        <v>2648.54</v>
      </c>
      <c r="C257" s="3">
        <v>2786.66</v>
      </c>
      <c r="D257" s="3">
        <f t="shared" si="4"/>
        <v>2786.66</v>
      </c>
      <c r="E257" s="3">
        <f t="shared" si="5"/>
        <v>2816.66</v>
      </c>
    </row>
    <row r="258" spans="1:5" ht="15.75" x14ac:dyDescent="0.25">
      <c r="A258" s="21">
        <f>AVERAGE(A162:A257)*0.24</f>
        <v>631.53411677833333</v>
      </c>
      <c r="B258" s="21">
        <f>AVERAGE(B162:B257)*0.24</f>
        <v>608.36374999999998</v>
      </c>
      <c r="C258" s="21">
        <f>AVERAGE(C162:C257)*0.24</f>
        <v>606.37212499999998</v>
      </c>
      <c r="D258" s="21">
        <f>AVERAGE(D162:D257)*0.24</f>
        <v>613.9547500000001</v>
      </c>
      <c r="E258" s="21">
        <f>AVERAGE(E162:E257)*0.24</f>
        <v>621.15475000000015</v>
      </c>
    </row>
  </sheetData>
  <mergeCells count="7">
    <mergeCell ref="E149:I149"/>
    <mergeCell ref="E31:I31"/>
    <mergeCell ref="E54:I54"/>
    <mergeCell ref="E59:I59"/>
    <mergeCell ref="E82:I82"/>
    <mergeCell ref="E110:I110"/>
    <mergeCell ref="E87:I8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>
      <selection activeCell="H11" sqref="H11"/>
    </sheetView>
  </sheetViews>
  <sheetFormatPr defaultRowHeight="15" x14ac:dyDescent="0.25"/>
  <sheetData>
    <row r="1" spans="1:5" x14ac:dyDescent="0.25">
      <c r="A1" s="3">
        <v>2358</v>
      </c>
      <c r="B1" s="3">
        <v>2292.2471700000001</v>
      </c>
      <c r="C1">
        <v>2517</v>
      </c>
      <c r="D1" s="3">
        <f t="shared" ref="D1:D32" si="0">AVERAGE(A1:B1)</f>
        <v>2325.1235850000003</v>
      </c>
      <c r="E1" s="3">
        <f t="shared" ref="E1:E32" si="1">D1-21</f>
        <v>2304.1235850000003</v>
      </c>
    </row>
    <row r="2" spans="1:5" x14ac:dyDescent="0.25">
      <c r="A2" s="3">
        <v>2345.33</v>
      </c>
      <c r="B2" s="3">
        <v>2279.93047295</v>
      </c>
      <c r="C2">
        <v>2500</v>
      </c>
      <c r="D2" s="3">
        <f t="shared" si="0"/>
        <v>2312.6302364749999</v>
      </c>
      <c r="E2" s="3">
        <f t="shared" si="1"/>
        <v>2291.6302364749999</v>
      </c>
    </row>
    <row r="3" spans="1:5" x14ac:dyDescent="0.25">
      <c r="A3" s="3">
        <v>2331.29</v>
      </c>
      <c r="B3" s="3">
        <v>2266.2819783499999</v>
      </c>
      <c r="C3">
        <v>2486</v>
      </c>
      <c r="D3" s="3">
        <f t="shared" si="0"/>
        <v>2298.7859891749999</v>
      </c>
      <c r="E3" s="3">
        <f t="shared" si="1"/>
        <v>2277.7859891749999</v>
      </c>
    </row>
    <row r="4" spans="1:5" x14ac:dyDescent="0.25">
      <c r="A4" s="3">
        <v>2314.9299999999998</v>
      </c>
      <c r="B4" s="3">
        <v>2250.3781769499997</v>
      </c>
      <c r="C4">
        <v>2469</v>
      </c>
      <c r="D4" s="3">
        <f t="shared" si="0"/>
        <v>2282.6540884749998</v>
      </c>
      <c r="E4" s="3">
        <f t="shared" si="1"/>
        <v>2261.6540884749998</v>
      </c>
    </row>
    <row r="5" spans="1:5" x14ac:dyDescent="0.25">
      <c r="A5" s="3">
        <v>2297.2199999999998</v>
      </c>
      <c r="B5" s="3">
        <v>2233.1620202999998</v>
      </c>
      <c r="C5">
        <v>2485</v>
      </c>
      <c r="D5" s="3">
        <f t="shared" si="0"/>
        <v>2265.1910101499998</v>
      </c>
      <c r="E5" s="3">
        <f t="shared" si="1"/>
        <v>2244.1910101499998</v>
      </c>
    </row>
    <row r="6" spans="1:5" x14ac:dyDescent="0.25">
      <c r="A6" s="3">
        <v>2291.7600000000002</v>
      </c>
      <c r="B6" s="3">
        <v>2227.8542723999999</v>
      </c>
      <c r="C6">
        <v>2487</v>
      </c>
      <c r="D6" s="3">
        <f t="shared" si="0"/>
        <v>2259.8071362000001</v>
      </c>
      <c r="E6" s="3">
        <f t="shared" si="1"/>
        <v>2238.8071362000001</v>
      </c>
    </row>
    <row r="7" spans="1:5" x14ac:dyDescent="0.25">
      <c r="A7" s="3">
        <v>2280.34</v>
      </c>
      <c r="B7" s="3">
        <v>2216.7527191000004</v>
      </c>
      <c r="C7">
        <v>2485</v>
      </c>
      <c r="D7" s="3">
        <f t="shared" si="0"/>
        <v>2248.5463595500005</v>
      </c>
      <c r="E7" s="3">
        <f t="shared" si="1"/>
        <v>2227.5463595500005</v>
      </c>
    </row>
    <row r="8" spans="1:5" x14ac:dyDescent="0.25">
      <c r="A8" s="3">
        <v>2284.86</v>
      </c>
      <c r="B8" s="3">
        <v>2221.1466789000001</v>
      </c>
      <c r="C8">
        <v>2481</v>
      </c>
      <c r="D8" s="3">
        <f t="shared" si="0"/>
        <v>2253.0033394500001</v>
      </c>
      <c r="E8" s="3">
        <f t="shared" si="1"/>
        <v>2232.0033394500001</v>
      </c>
    </row>
    <row r="9" spans="1:5" x14ac:dyDescent="0.25">
      <c r="A9" s="3">
        <v>2283.6799999999998</v>
      </c>
      <c r="B9" s="3">
        <v>2219.9995832</v>
      </c>
      <c r="C9">
        <v>2527</v>
      </c>
      <c r="D9" s="3">
        <f t="shared" si="0"/>
        <v>2251.8397915999999</v>
      </c>
      <c r="E9" s="3">
        <f t="shared" si="1"/>
        <v>2230.8397915999999</v>
      </c>
    </row>
    <row r="10" spans="1:5" x14ac:dyDescent="0.25">
      <c r="A10" s="3">
        <v>2259.6799999999998</v>
      </c>
      <c r="B10" s="3">
        <v>2196.6688231999997</v>
      </c>
      <c r="C10">
        <v>2492</v>
      </c>
      <c r="D10" s="3">
        <f t="shared" si="0"/>
        <v>2228.1744116</v>
      </c>
      <c r="E10" s="3">
        <f t="shared" si="1"/>
        <v>2207.1744116</v>
      </c>
    </row>
    <row r="11" spans="1:5" x14ac:dyDescent="0.25">
      <c r="A11" s="3">
        <v>2246.7600000000002</v>
      </c>
      <c r="B11" s="3">
        <v>2184.1090974000003</v>
      </c>
      <c r="C11">
        <v>2485</v>
      </c>
      <c r="D11" s="3">
        <f t="shared" si="0"/>
        <v>2215.4345487000001</v>
      </c>
      <c r="E11" s="3">
        <f t="shared" si="1"/>
        <v>2194.4345487000001</v>
      </c>
    </row>
    <row r="12" spans="1:5" x14ac:dyDescent="0.25">
      <c r="A12" s="3">
        <v>2251.34</v>
      </c>
      <c r="B12" s="3">
        <v>2188.5613841000004</v>
      </c>
      <c r="C12">
        <v>2476</v>
      </c>
      <c r="D12" s="3">
        <f t="shared" si="0"/>
        <v>2219.9506920500003</v>
      </c>
      <c r="E12" s="3">
        <f t="shared" si="1"/>
        <v>2198.9506920500003</v>
      </c>
    </row>
    <row r="13" spans="1:5" x14ac:dyDescent="0.25">
      <c r="A13" s="3">
        <v>2237.15</v>
      </c>
      <c r="B13" s="3">
        <v>2174.7670722499997</v>
      </c>
      <c r="C13">
        <v>2474</v>
      </c>
      <c r="D13" s="3">
        <f t="shared" si="0"/>
        <v>2205.9585361250001</v>
      </c>
      <c r="E13" s="3">
        <f t="shared" si="1"/>
        <v>2184.9585361250001</v>
      </c>
    </row>
    <row r="14" spans="1:5" x14ac:dyDescent="0.25">
      <c r="A14" s="3">
        <v>2238.37</v>
      </c>
      <c r="B14" s="3">
        <v>2175.9530525499999</v>
      </c>
      <c r="C14">
        <v>2474</v>
      </c>
      <c r="D14" s="3">
        <f t="shared" si="0"/>
        <v>2207.1615262750001</v>
      </c>
      <c r="E14" s="3">
        <f t="shared" si="1"/>
        <v>2186.1615262750001</v>
      </c>
    </row>
    <row r="15" spans="1:5" x14ac:dyDescent="0.25">
      <c r="A15" s="3">
        <v>2240.6999999999998</v>
      </c>
      <c r="B15" s="3">
        <v>2178.2180804999994</v>
      </c>
      <c r="C15">
        <v>2472</v>
      </c>
      <c r="D15" s="3">
        <f t="shared" si="0"/>
        <v>2209.4590402499998</v>
      </c>
      <c r="E15" s="3">
        <f t="shared" si="1"/>
        <v>2188.4590402499998</v>
      </c>
    </row>
    <row r="16" spans="1:5" x14ac:dyDescent="0.25">
      <c r="A16" s="3">
        <v>2240.81</v>
      </c>
      <c r="B16" s="3">
        <v>2178.3250131499999</v>
      </c>
      <c r="C16">
        <v>2480</v>
      </c>
      <c r="D16" s="3">
        <f t="shared" si="0"/>
        <v>2209.5675065750002</v>
      </c>
      <c r="E16" s="3">
        <f t="shared" si="1"/>
        <v>2188.5675065750002</v>
      </c>
    </row>
    <row r="17" spans="1:6" x14ac:dyDescent="0.25">
      <c r="A17" s="3">
        <v>2223.75</v>
      </c>
      <c r="B17" s="3">
        <v>2161.74073125</v>
      </c>
      <c r="C17">
        <v>2470</v>
      </c>
      <c r="D17" s="3">
        <f t="shared" si="0"/>
        <v>2192.745365625</v>
      </c>
      <c r="E17" s="3">
        <f t="shared" si="1"/>
        <v>2171.745365625</v>
      </c>
    </row>
    <row r="18" spans="1:6" x14ac:dyDescent="0.25">
      <c r="A18" s="3">
        <v>2220.92</v>
      </c>
      <c r="B18" s="3">
        <v>2158.9896457999998</v>
      </c>
      <c r="C18">
        <v>2470</v>
      </c>
      <c r="D18" s="3">
        <f t="shared" si="0"/>
        <v>2189.9548229000002</v>
      </c>
      <c r="E18" s="3">
        <f t="shared" si="1"/>
        <v>2168.9548229000002</v>
      </c>
    </row>
    <row r="19" spans="1:6" x14ac:dyDescent="0.25">
      <c r="A19" s="3">
        <v>2223.86</v>
      </c>
      <c r="B19" s="3">
        <v>2161.8476639</v>
      </c>
      <c r="C19">
        <v>2469</v>
      </c>
      <c r="D19" s="3">
        <f t="shared" si="0"/>
        <v>2192.8538319500003</v>
      </c>
      <c r="E19" s="3">
        <f t="shared" si="1"/>
        <v>2171.8538319500003</v>
      </c>
    </row>
    <row r="20" spans="1:6" x14ac:dyDescent="0.25">
      <c r="A20" s="8">
        <v>2227.4499999999998</v>
      </c>
      <c r="B20" s="3">
        <v>2165.3375567499997</v>
      </c>
      <c r="C20" s="6">
        <v>2479</v>
      </c>
      <c r="D20" s="3">
        <f t="shared" si="0"/>
        <v>2196.3937783749998</v>
      </c>
      <c r="E20" s="3">
        <f t="shared" si="1"/>
        <v>2175.3937783749998</v>
      </c>
      <c r="F20" s="6"/>
    </row>
    <row r="21" spans="1:6" x14ac:dyDescent="0.25">
      <c r="A21" s="3">
        <v>2250.08</v>
      </c>
      <c r="B21" s="3">
        <v>2187.3365192000001</v>
      </c>
      <c r="C21">
        <v>2501</v>
      </c>
      <c r="D21" s="3">
        <f t="shared" si="0"/>
        <v>2218.7082596</v>
      </c>
      <c r="E21" s="3">
        <f t="shared" si="1"/>
        <v>2197.7082596</v>
      </c>
    </row>
    <row r="22" spans="1:6" x14ac:dyDescent="0.25">
      <c r="A22" s="3">
        <v>2261.0300000000002</v>
      </c>
      <c r="B22" s="3">
        <v>2197.9811784500002</v>
      </c>
      <c r="C22">
        <v>2522</v>
      </c>
      <c r="D22" s="3">
        <f t="shared" si="0"/>
        <v>2229.5055892250002</v>
      </c>
      <c r="E22" s="3">
        <f t="shared" si="1"/>
        <v>2208.5055892250002</v>
      </c>
    </row>
    <row r="23" spans="1:6" x14ac:dyDescent="0.25">
      <c r="A23" s="3">
        <v>2302.35</v>
      </c>
      <c r="B23" s="3">
        <v>2238.1489702500003</v>
      </c>
      <c r="C23">
        <v>2554</v>
      </c>
      <c r="D23" s="3">
        <f t="shared" si="0"/>
        <v>2270.2494851250003</v>
      </c>
      <c r="E23" s="3">
        <f t="shared" si="1"/>
        <v>2249.2494851250003</v>
      </c>
    </row>
    <row r="24" spans="1:6" x14ac:dyDescent="0.25">
      <c r="A24" s="3">
        <v>2350.16</v>
      </c>
      <c r="B24" s="3">
        <v>2284.6257883999997</v>
      </c>
      <c r="C24">
        <v>2593</v>
      </c>
      <c r="D24" s="3">
        <f t="shared" si="0"/>
        <v>2317.3928941999998</v>
      </c>
      <c r="E24" s="3">
        <f t="shared" si="1"/>
        <v>2296.3928941999998</v>
      </c>
    </row>
    <row r="25" spans="1:6" x14ac:dyDescent="0.25">
      <c r="A25" s="3">
        <v>2396.27</v>
      </c>
      <c r="B25" s="3">
        <v>2329.4500110499998</v>
      </c>
      <c r="C25">
        <v>2614</v>
      </c>
      <c r="D25" s="3">
        <f t="shared" si="0"/>
        <v>2362.8600055249999</v>
      </c>
      <c r="E25" s="3">
        <f t="shared" si="1"/>
        <v>2341.8600055249999</v>
      </c>
    </row>
    <row r="26" spans="1:6" x14ac:dyDescent="0.25">
      <c r="A26" s="3">
        <v>2423.1799999999998</v>
      </c>
      <c r="B26" s="3">
        <v>2355.6096256999999</v>
      </c>
      <c r="C26">
        <v>2633</v>
      </c>
      <c r="D26" s="3">
        <f t="shared" si="0"/>
        <v>2389.3948128499997</v>
      </c>
      <c r="E26" s="3">
        <f t="shared" si="1"/>
        <v>2368.3948128499997</v>
      </c>
    </row>
    <row r="27" spans="1:6" x14ac:dyDescent="0.25">
      <c r="A27" s="3">
        <v>2474.4499999999998</v>
      </c>
      <c r="B27" s="3">
        <v>2405.4499617499996</v>
      </c>
      <c r="C27">
        <v>2666</v>
      </c>
      <c r="D27" s="3">
        <f t="shared" si="0"/>
        <v>2439.9499808749997</v>
      </c>
      <c r="E27" s="3">
        <f t="shared" si="1"/>
        <v>2418.9499808749997</v>
      </c>
    </row>
    <row r="28" spans="1:6" x14ac:dyDescent="0.25">
      <c r="A28" s="3">
        <v>2486.02</v>
      </c>
      <c r="B28" s="3">
        <v>2416.6973322999997</v>
      </c>
      <c r="C28">
        <v>2661</v>
      </c>
      <c r="D28" s="3">
        <f t="shared" si="0"/>
        <v>2451.3586661499999</v>
      </c>
      <c r="E28" s="3">
        <f t="shared" si="1"/>
        <v>2430.3586661499999</v>
      </c>
    </row>
    <row r="29" spans="1:6" x14ac:dyDescent="0.25">
      <c r="A29" s="3">
        <v>2513.2800000000002</v>
      </c>
      <c r="B29" s="3">
        <v>2443.1971871999999</v>
      </c>
      <c r="C29">
        <v>2666</v>
      </c>
      <c r="D29" s="3">
        <f t="shared" si="0"/>
        <v>2478.2385936000001</v>
      </c>
      <c r="E29" s="3">
        <f t="shared" si="1"/>
        <v>2457.2385936000001</v>
      </c>
    </row>
    <row r="30" spans="1:6" x14ac:dyDescent="0.25">
      <c r="A30" s="3">
        <v>2512.39</v>
      </c>
      <c r="B30" s="3">
        <v>2442.3320048499995</v>
      </c>
      <c r="C30">
        <v>2667</v>
      </c>
      <c r="D30" s="3">
        <f t="shared" si="0"/>
        <v>2477.3610024249997</v>
      </c>
      <c r="E30" s="3">
        <f t="shared" si="1"/>
        <v>2456.3610024249997</v>
      </c>
    </row>
    <row r="31" spans="1:6" x14ac:dyDescent="0.25">
      <c r="A31" s="3">
        <v>2520.4299999999998</v>
      </c>
      <c r="B31" s="3">
        <v>2450.1478094499998</v>
      </c>
      <c r="C31">
        <v>2667</v>
      </c>
      <c r="D31" s="3">
        <f t="shared" si="0"/>
        <v>2485.2889047250001</v>
      </c>
      <c r="E31" s="3">
        <f t="shared" si="1"/>
        <v>2464.2889047250001</v>
      </c>
    </row>
    <row r="32" spans="1:6" x14ac:dyDescent="0.25">
      <c r="A32" s="3">
        <v>2566.61</v>
      </c>
      <c r="B32" s="3">
        <v>2495.0400801500004</v>
      </c>
      <c r="C32">
        <v>2667</v>
      </c>
      <c r="D32" s="3">
        <f t="shared" si="0"/>
        <v>2530.8250400750003</v>
      </c>
      <c r="E32" s="3">
        <f t="shared" si="1"/>
        <v>2509.8250400750003</v>
      </c>
    </row>
    <row r="33" spans="1:6" x14ac:dyDescent="0.25">
      <c r="A33" s="9">
        <v>2485.0500000000002</v>
      </c>
      <c r="B33" s="3">
        <v>2415.7057749999999</v>
      </c>
      <c r="C33" s="7">
        <v>2587</v>
      </c>
      <c r="D33" s="3">
        <f t="shared" ref="D33:D64" si="2">AVERAGE(A33:B33)</f>
        <v>2450.3778874999998</v>
      </c>
      <c r="E33" s="3">
        <f t="shared" ref="E33:E64" si="3">D33-21</f>
        <v>2429.3778874999998</v>
      </c>
      <c r="F33" s="7"/>
    </row>
    <row r="34" spans="1:6" x14ac:dyDescent="0.25">
      <c r="A34" s="3">
        <v>2449.1999999999998</v>
      </c>
      <c r="B34" s="3">
        <v>2380.7096349999997</v>
      </c>
      <c r="C34">
        <v>2563</v>
      </c>
      <c r="D34" s="3">
        <f t="shared" si="2"/>
        <v>2414.9548175</v>
      </c>
      <c r="E34" s="3">
        <f t="shared" si="3"/>
        <v>2393.9548175</v>
      </c>
    </row>
    <row r="35" spans="1:6" x14ac:dyDescent="0.25">
      <c r="A35" s="3">
        <v>2433.48</v>
      </c>
      <c r="B35" s="3">
        <v>2365.1557950000001</v>
      </c>
      <c r="C35">
        <v>2551</v>
      </c>
      <c r="D35" s="3">
        <f t="shared" si="2"/>
        <v>2399.3178975000001</v>
      </c>
      <c r="E35" s="3">
        <f t="shared" si="3"/>
        <v>2378.3178975000001</v>
      </c>
    </row>
    <row r="36" spans="1:6" x14ac:dyDescent="0.25">
      <c r="A36" s="3">
        <v>2450.09</v>
      </c>
      <c r="B36" s="3">
        <v>2452.0958801500001</v>
      </c>
      <c r="C36">
        <v>2554</v>
      </c>
      <c r="D36" s="3">
        <f t="shared" si="2"/>
        <v>2451.0929400750001</v>
      </c>
      <c r="E36" s="3">
        <f t="shared" si="3"/>
        <v>2430.0929400750001</v>
      </c>
    </row>
    <row r="37" spans="1:6" x14ac:dyDescent="0.25">
      <c r="A37" s="3">
        <v>2422.11</v>
      </c>
      <c r="B37" s="3">
        <v>2447.2255839999998</v>
      </c>
      <c r="C37">
        <v>2517</v>
      </c>
      <c r="D37" s="3">
        <f t="shared" si="2"/>
        <v>2434.6677920000002</v>
      </c>
      <c r="E37" s="3">
        <f t="shared" si="3"/>
        <v>2413.6677920000002</v>
      </c>
    </row>
    <row r="38" spans="1:6" x14ac:dyDescent="0.25">
      <c r="A38" s="3">
        <v>2409.1799999999998</v>
      </c>
      <c r="B38" s="3">
        <v>2393.6037206000001</v>
      </c>
      <c r="C38">
        <v>2503</v>
      </c>
      <c r="D38" s="3">
        <f t="shared" si="2"/>
        <v>2401.3918603000002</v>
      </c>
      <c r="E38" s="3">
        <f t="shared" si="3"/>
        <v>2380.3918603000002</v>
      </c>
    </row>
    <row r="39" spans="1:6" x14ac:dyDescent="0.25">
      <c r="A39" s="3">
        <v>2370.42</v>
      </c>
      <c r="B39" s="3">
        <v>2374.8516222500002</v>
      </c>
      <c r="C39">
        <v>2474</v>
      </c>
      <c r="D39" s="3">
        <f t="shared" si="2"/>
        <v>2372.6358111250001</v>
      </c>
      <c r="E39" s="3">
        <f t="shared" si="3"/>
        <v>2351.6358111250001</v>
      </c>
    </row>
    <row r="40" spans="1:6" x14ac:dyDescent="0.25">
      <c r="A40" s="3">
        <v>2363.41</v>
      </c>
      <c r="B40" s="3">
        <v>2370.9631622500001</v>
      </c>
      <c r="C40">
        <v>2483</v>
      </c>
      <c r="D40" s="3">
        <f t="shared" si="2"/>
        <v>2367.186581125</v>
      </c>
      <c r="E40" s="3">
        <f t="shared" si="3"/>
        <v>2346.186581125</v>
      </c>
    </row>
    <row r="41" spans="1:6" x14ac:dyDescent="0.25">
      <c r="A41" s="8">
        <v>2341.9299999999998</v>
      </c>
      <c r="B41" s="3">
        <v>2371.7797388499994</v>
      </c>
      <c r="C41" s="6">
        <v>2472</v>
      </c>
      <c r="D41" s="3">
        <f t="shared" si="2"/>
        <v>2356.8548694249994</v>
      </c>
      <c r="E41" s="3">
        <f t="shared" si="3"/>
        <v>2335.8548694249994</v>
      </c>
      <c r="F41" s="6"/>
    </row>
    <row r="42" spans="1:6" x14ac:dyDescent="0.25">
      <c r="A42" s="3">
        <v>2348.59</v>
      </c>
      <c r="B42" s="3">
        <v>2381.1314851500001</v>
      </c>
      <c r="C42">
        <v>2464</v>
      </c>
      <c r="D42" s="3">
        <f t="shared" si="2"/>
        <v>2364.8607425750001</v>
      </c>
      <c r="E42" s="3">
        <f t="shared" si="3"/>
        <v>2343.8607425750001</v>
      </c>
    </row>
    <row r="43" spans="1:6" x14ac:dyDescent="0.25">
      <c r="A43" s="3">
        <v>2335.64</v>
      </c>
      <c r="B43" s="3">
        <v>2354.67051485</v>
      </c>
      <c r="C43">
        <v>2454</v>
      </c>
      <c r="D43" s="3">
        <f t="shared" si="2"/>
        <v>2345.1552574249999</v>
      </c>
      <c r="E43" s="3">
        <f t="shared" si="3"/>
        <v>2324.1552574249999</v>
      </c>
    </row>
    <row r="44" spans="1:6" x14ac:dyDescent="0.25">
      <c r="A44" s="3">
        <v>2338.4899999999998</v>
      </c>
      <c r="B44" s="3">
        <v>2345.1243455500003</v>
      </c>
      <c r="C44">
        <v>2455</v>
      </c>
      <c r="D44" s="3">
        <f t="shared" si="2"/>
        <v>2341.8071727750003</v>
      </c>
      <c r="E44" s="3">
        <f t="shared" si="3"/>
        <v>2320.8071727750003</v>
      </c>
    </row>
    <row r="45" spans="1:6" x14ac:dyDescent="0.25">
      <c r="A45" s="3">
        <v>2342.16</v>
      </c>
      <c r="B45" s="3">
        <v>2343.9869710000003</v>
      </c>
      <c r="C45">
        <v>2433</v>
      </c>
      <c r="D45" s="3">
        <f t="shared" si="2"/>
        <v>2343.0734855000001</v>
      </c>
      <c r="E45" s="3">
        <f t="shared" si="3"/>
        <v>2322.0734855000001</v>
      </c>
    </row>
    <row r="46" spans="1:6" x14ac:dyDescent="0.25">
      <c r="A46" s="3">
        <v>2518.1799999999998</v>
      </c>
      <c r="B46" s="3">
        <v>2329.78437085</v>
      </c>
      <c r="C46">
        <v>2525</v>
      </c>
      <c r="D46" s="3">
        <f t="shared" si="2"/>
        <v>2423.9821854249999</v>
      </c>
      <c r="E46" s="3">
        <f t="shared" si="3"/>
        <v>2402.9821854249999</v>
      </c>
    </row>
    <row r="47" spans="1:6" x14ac:dyDescent="0.25">
      <c r="A47" s="3">
        <v>2772.02</v>
      </c>
      <c r="B47" s="3">
        <v>2317.4968372500002</v>
      </c>
      <c r="C47">
        <v>2683</v>
      </c>
      <c r="D47" s="3">
        <f t="shared" si="2"/>
        <v>2544.7584186250001</v>
      </c>
      <c r="E47" s="3">
        <f t="shared" si="3"/>
        <v>2523.7584186250001</v>
      </c>
    </row>
    <row r="48" spans="1:6" x14ac:dyDescent="0.25">
      <c r="A48" s="3">
        <v>2334.64</v>
      </c>
      <c r="B48" s="3">
        <v>2311.2655800999996</v>
      </c>
      <c r="C48">
        <v>2461</v>
      </c>
      <c r="D48" s="3">
        <f t="shared" si="2"/>
        <v>2322.9527900499997</v>
      </c>
      <c r="E48" s="3">
        <f t="shared" si="3"/>
        <v>2301.9527900499997</v>
      </c>
    </row>
    <row r="49" spans="1:5" x14ac:dyDescent="0.25">
      <c r="A49" s="3">
        <v>2324.7199999999998</v>
      </c>
      <c r="B49" s="3">
        <v>2327.7040447499999</v>
      </c>
      <c r="C49">
        <v>2463</v>
      </c>
      <c r="D49" s="3">
        <f t="shared" si="2"/>
        <v>2326.2120223749998</v>
      </c>
      <c r="E49" s="3">
        <f t="shared" si="3"/>
        <v>2305.2120223749998</v>
      </c>
    </row>
    <row r="50" spans="1:5" x14ac:dyDescent="0.25">
      <c r="A50" s="3">
        <v>2342.71</v>
      </c>
      <c r="B50" s="3">
        <v>2327.8012562499998</v>
      </c>
      <c r="C50">
        <v>2470</v>
      </c>
      <c r="D50" s="3">
        <f t="shared" si="2"/>
        <v>2335.2556281249999</v>
      </c>
      <c r="E50" s="3">
        <f t="shared" si="3"/>
        <v>2314.2556281249999</v>
      </c>
    </row>
    <row r="51" spans="1:5" x14ac:dyDescent="0.25">
      <c r="A51" s="3">
        <v>2317.29</v>
      </c>
      <c r="B51" s="3">
        <v>2335.6851088999997</v>
      </c>
      <c r="C51">
        <v>2483</v>
      </c>
      <c r="D51" s="3">
        <f t="shared" si="2"/>
        <v>2326.4875544500001</v>
      </c>
      <c r="E51" s="3">
        <f t="shared" si="3"/>
        <v>2305.4875544500001</v>
      </c>
    </row>
    <row r="52" spans="1:5" x14ac:dyDescent="0.25">
      <c r="A52" s="3">
        <v>2320.4499999999998</v>
      </c>
      <c r="B52" s="3">
        <v>2332.7396004500001</v>
      </c>
      <c r="C52">
        <v>2482</v>
      </c>
      <c r="D52" s="3">
        <f t="shared" si="2"/>
        <v>2326.5948002249997</v>
      </c>
      <c r="E52" s="3">
        <f t="shared" si="3"/>
        <v>2305.5948002249997</v>
      </c>
    </row>
    <row r="53" spans="1:5" x14ac:dyDescent="0.25">
      <c r="A53" s="3">
        <v>2342.2199999999998</v>
      </c>
      <c r="B53" s="3">
        <v>2340.55540505</v>
      </c>
      <c r="C53">
        <v>2489</v>
      </c>
      <c r="D53" s="3">
        <f t="shared" si="2"/>
        <v>2341.3877025249999</v>
      </c>
      <c r="E53" s="3">
        <f t="shared" si="3"/>
        <v>2320.3877025249999</v>
      </c>
    </row>
    <row r="54" spans="1:5" x14ac:dyDescent="0.25">
      <c r="A54" s="3">
        <v>2374.9899999999998</v>
      </c>
      <c r="B54" s="3">
        <v>2339.0291845000002</v>
      </c>
      <c r="C54">
        <v>2514</v>
      </c>
      <c r="D54" s="3">
        <f t="shared" si="2"/>
        <v>2357.00959225</v>
      </c>
      <c r="E54" s="3">
        <f t="shared" si="3"/>
        <v>2336.00959225</v>
      </c>
    </row>
    <row r="55" spans="1:5" x14ac:dyDescent="0.25">
      <c r="A55" s="3">
        <v>2391.48</v>
      </c>
      <c r="B55" s="3">
        <v>2334.8782534500001</v>
      </c>
      <c r="C55">
        <v>2532</v>
      </c>
      <c r="D55" s="3">
        <f t="shared" si="2"/>
        <v>2363.1791267250001</v>
      </c>
      <c r="E55" s="3">
        <f t="shared" si="3"/>
        <v>2342.1791267250001</v>
      </c>
    </row>
    <row r="56" spans="1:5" x14ac:dyDescent="0.25">
      <c r="A56" s="3">
        <v>2391.11</v>
      </c>
      <c r="B56" s="3">
        <v>2314.8818479000001</v>
      </c>
      <c r="C56">
        <v>2546</v>
      </c>
      <c r="D56" s="3">
        <f t="shared" si="2"/>
        <v>2352.9959239500004</v>
      </c>
      <c r="E56" s="3">
        <f t="shared" si="3"/>
        <v>2331.9959239500004</v>
      </c>
    </row>
    <row r="57" spans="1:5" x14ac:dyDescent="0.25">
      <c r="A57" s="3">
        <v>2389.58</v>
      </c>
      <c r="B57" s="3">
        <v>2320.3062495999998</v>
      </c>
      <c r="C57">
        <v>2551</v>
      </c>
      <c r="D57" s="3">
        <f t="shared" si="2"/>
        <v>2354.9431248000001</v>
      </c>
      <c r="E57" s="3">
        <f t="shared" si="3"/>
        <v>2333.9431248000001</v>
      </c>
    </row>
    <row r="58" spans="1:5" x14ac:dyDescent="0.25">
      <c r="A58" s="3">
        <v>2403.42</v>
      </c>
      <c r="B58" s="3">
        <v>2318.7605867499997</v>
      </c>
      <c r="C58">
        <v>2554</v>
      </c>
      <c r="D58" s="3">
        <f t="shared" si="2"/>
        <v>2361.0902933749999</v>
      </c>
      <c r="E58" s="3">
        <f t="shared" si="3"/>
        <v>2340.0902933749999</v>
      </c>
    </row>
    <row r="59" spans="1:5" x14ac:dyDescent="0.25">
      <c r="A59" s="3">
        <v>2431.0500000000002</v>
      </c>
      <c r="B59" s="3">
        <v>2322.4060180000001</v>
      </c>
      <c r="C59">
        <v>2571</v>
      </c>
      <c r="D59" s="3">
        <f t="shared" si="2"/>
        <v>2376.7280090000004</v>
      </c>
      <c r="E59" s="3">
        <f t="shared" si="3"/>
        <v>2355.7280090000004</v>
      </c>
    </row>
    <row r="60" spans="1:5" x14ac:dyDescent="0.25">
      <c r="A60" s="3">
        <v>2458.89</v>
      </c>
      <c r="B60" s="3">
        <v>2301.79718</v>
      </c>
      <c r="C60">
        <v>2596</v>
      </c>
      <c r="D60" s="3">
        <f t="shared" si="2"/>
        <v>2380.3435899999999</v>
      </c>
      <c r="E60" s="3">
        <f t="shared" si="3"/>
        <v>2359.3435899999999</v>
      </c>
    </row>
    <row r="61" spans="1:5" x14ac:dyDescent="0.25">
      <c r="A61" s="3">
        <v>2484.21</v>
      </c>
      <c r="B61" s="3">
        <v>2320.2673650000002</v>
      </c>
      <c r="C61">
        <v>2603</v>
      </c>
      <c r="D61" s="3">
        <f t="shared" si="2"/>
        <v>2402.2386825000003</v>
      </c>
      <c r="E61" s="3">
        <f t="shared" si="3"/>
        <v>2381.2386825000003</v>
      </c>
    </row>
    <row r="62" spans="1:5" x14ac:dyDescent="0.25">
      <c r="A62" s="3">
        <v>2471.17</v>
      </c>
      <c r="B62" s="3">
        <v>2340.6817799999999</v>
      </c>
      <c r="C62">
        <v>2592</v>
      </c>
      <c r="D62" s="3">
        <f t="shared" si="2"/>
        <v>2405.92589</v>
      </c>
      <c r="E62" s="3">
        <f t="shared" si="3"/>
        <v>2384.92589</v>
      </c>
    </row>
    <row r="63" spans="1:5" x14ac:dyDescent="0.25">
      <c r="A63" s="3">
        <v>2453.9299999999998</v>
      </c>
      <c r="B63" s="3">
        <v>2323.1837100000002</v>
      </c>
      <c r="C63">
        <v>2576</v>
      </c>
      <c r="D63" s="3">
        <f t="shared" si="2"/>
        <v>2388.5568549999998</v>
      </c>
      <c r="E63" s="3">
        <f t="shared" si="3"/>
        <v>2367.5568549999998</v>
      </c>
    </row>
    <row r="64" spans="1:5" x14ac:dyDescent="0.25">
      <c r="A64" s="3">
        <v>2501.2800000000002</v>
      </c>
      <c r="B64" s="3">
        <v>2318.3231350000001</v>
      </c>
      <c r="C64">
        <v>2598</v>
      </c>
      <c r="D64" s="3">
        <f t="shared" si="2"/>
        <v>2409.8015675000001</v>
      </c>
      <c r="E64" s="3">
        <f t="shared" si="3"/>
        <v>2388.8015675000001</v>
      </c>
    </row>
    <row r="65" spans="1:6" x14ac:dyDescent="0.25">
      <c r="A65" s="3">
        <v>2483.67</v>
      </c>
      <c r="B65" s="3">
        <v>2313.4625599999999</v>
      </c>
      <c r="C65">
        <v>2574</v>
      </c>
      <c r="D65" s="3">
        <f t="shared" ref="D65:D96" si="4">AVERAGE(A65:B65)</f>
        <v>2398.56628</v>
      </c>
      <c r="E65" s="3">
        <f t="shared" ref="E65:E96" si="5">D65-21</f>
        <v>2377.56628</v>
      </c>
    </row>
    <row r="66" spans="1:6" x14ac:dyDescent="0.25">
      <c r="A66" s="3">
        <v>2490.71</v>
      </c>
      <c r="B66" s="3">
        <v>2295.9644899999998</v>
      </c>
      <c r="C66">
        <v>2579</v>
      </c>
      <c r="D66" s="3">
        <f t="shared" si="4"/>
        <v>2393.3372449999997</v>
      </c>
      <c r="E66" s="3">
        <f t="shared" si="5"/>
        <v>2372.3372449999997</v>
      </c>
    </row>
    <row r="67" spans="1:6" x14ac:dyDescent="0.25">
      <c r="A67" s="3">
        <v>2485.3000000000002</v>
      </c>
      <c r="B67" s="3">
        <v>2304.9624341999997</v>
      </c>
      <c r="C67">
        <v>2579</v>
      </c>
      <c r="D67" s="3">
        <f t="shared" si="4"/>
        <v>2395.1312171</v>
      </c>
      <c r="E67" s="3">
        <f t="shared" si="5"/>
        <v>2374.1312171</v>
      </c>
    </row>
    <row r="68" spans="1:6" x14ac:dyDescent="0.25">
      <c r="A68" s="3">
        <v>2304.83</v>
      </c>
      <c r="B68" s="3">
        <v>2292.8109967</v>
      </c>
      <c r="C68">
        <v>2497</v>
      </c>
      <c r="D68" s="3">
        <f t="shared" si="4"/>
        <v>2298.82049835</v>
      </c>
      <c r="E68" s="3">
        <f t="shared" si="5"/>
        <v>2277.82049835</v>
      </c>
    </row>
    <row r="69" spans="1:6" x14ac:dyDescent="0.25">
      <c r="A69" s="3">
        <v>2380</v>
      </c>
      <c r="B69" s="3">
        <v>2287.5712968499997</v>
      </c>
      <c r="C69">
        <v>2529</v>
      </c>
      <c r="D69" s="3">
        <f t="shared" si="4"/>
        <v>2333.7856484249996</v>
      </c>
      <c r="E69" s="3">
        <f t="shared" si="5"/>
        <v>2312.7856484249996</v>
      </c>
    </row>
    <row r="70" spans="1:6" x14ac:dyDescent="0.25">
      <c r="A70" s="3">
        <v>2453.94</v>
      </c>
      <c r="B70" s="3">
        <v>2288.7572771499999</v>
      </c>
      <c r="C70">
        <v>2570</v>
      </c>
      <c r="D70" s="3">
        <f t="shared" si="4"/>
        <v>2371.3486385750002</v>
      </c>
      <c r="E70" s="3">
        <f t="shared" si="5"/>
        <v>2350.3486385750002</v>
      </c>
    </row>
    <row r="71" spans="1:6" x14ac:dyDescent="0.25">
      <c r="A71" s="3">
        <v>2434.48</v>
      </c>
      <c r="B71" s="3">
        <v>2264.5904982500001</v>
      </c>
      <c r="C71">
        <v>2557</v>
      </c>
      <c r="D71" s="3">
        <f t="shared" si="4"/>
        <v>2349.5352491250001</v>
      </c>
      <c r="E71" s="3">
        <f t="shared" si="5"/>
        <v>2328.5352491250001</v>
      </c>
    </row>
    <row r="72" spans="1:6" x14ac:dyDescent="0.25">
      <c r="A72" s="9">
        <v>2424.87</v>
      </c>
      <c r="B72" s="3">
        <v>2230.0609734500003</v>
      </c>
      <c r="C72" s="7">
        <v>2536</v>
      </c>
      <c r="D72" s="3">
        <f t="shared" si="4"/>
        <v>2327.4654867250001</v>
      </c>
      <c r="E72" s="3">
        <f t="shared" si="5"/>
        <v>2306.4654867250001</v>
      </c>
      <c r="F72" s="7"/>
    </row>
    <row r="73" spans="1:6" x14ac:dyDescent="0.25">
      <c r="A73" s="8">
        <v>2432.37</v>
      </c>
      <c r="B73" s="3">
        <v>2163.1405768500003</v>
      </c>
      <c r="C73" s="6">
        <v>2525</v>
      </c>
      <c r="D73" s="3">
        <f t="shared" si="4"/>
        <v>2297.7552884249999</v>
      </c>
      <c r="E73" s="3">
        <f t="shared" si="5"/>
        <v>2276.7552884249999</v>
      </c>
      <c r="F73" s="6"/>
    </row>
    <row r="74" spans="1:6" x14ac:dyDescent="0.25">
      <c r="A74" s="3">
        <v>2417.0300000000002</v>
      </c>
      <c r="B74" s="3">
        <v>2157.23011765</v>
      </c>
      <c r="C74">
        <v>2506</v>
      </c>
      <c r="D74" s="3">
        <f t="shared" si="4"/>
        <v>2287.1300588250001</v>
      </c>
      <c r="E74" s="3">
        <f t="shared" si="5"/>
        <v>2266.1300588250001</v>
      </c>
    </row>
    <row r="75" spans="1:6" x14ac:dyDescent="0.25">
      <c r="A75" s="3">
        <v>2385.56</v>
      </c>
      <c r="B75" s="3">
        <v>2145.3605935</v>
      </c>
      <c r="C75">
        <v>2481</v>
      </c>
      <c r="D75" s="3">
        <f t="shared" si="4"/>
        <v>2265.46029675</v>
      </c>
      <c r="E75" s="3">
        <f t="shared" si="5"/>
        <v>2244.46029675</v>
      </c>
    </row>
    <row r="76" spans="1:6" x14ac:dyDescent="0.25">
      <c r="A76" s="3">
        <v>2352.63</v>
      </c>
      <c r="B76" s="3">
        <v>2053.4082356499998</v>
      </c>
      <c r="C76">
        <v>2482</v>
      </c>
      <c r="D76" s="3">
        <f t="shared" si="4"/>
        <v>2203.0191178249997</v>
      </c>
      <c r="E76" s="3">
        <f t="shared" si="5"/>
        <v>2182.0191178249997</v>
      </c>
    </row>
    <row r="77" spans="1:6" x14ac:dyDescent="0.25">
      <c r="A77" s="3">
        <v>2366.9</v>
      </c>
      <c r="B77" s="3">
        <v>2055.3330233500001</v>
      </c>
      <c r="C77">
        <v>2524</v>
      </c>
      <c r="D77" s="3">
        <f t="shared" si="4"/>
        <v>2211.1165116749999</v>
      </c>
      <c r="E77" s="3">
        <f t="shared" si="5"/>
        <v>2190.1165116749999</v>
      </c>
    </row>
    <row r="78" spans="1:6" x14ac:dyDescent="0.25">
      <c r="A78" s="3">
        <v>2409.4499999999998</v>
      </c>
      <c r="B78" s="3">
        <v>2144.8842571499999</v>
      </c>
      <c r="C78">
        <v>2583</v>
      </c>
      <c r="D78" s="3">
        <f t="shared" si="4"/>
        <v>2277.1671285749999</v>
      </c>
      <c r="E78" s="3">
        <f t="shared" si="5"/>
        <v>2256.1671285749999</v>
      </c>
    </row>
    <row r="79" spans="1:6" x14ac:dyDescent="0.25">
      <c r="A79" s="3">
        <v>2487.88</v>
      </c>
      <c r="B79" s="3">
        <v>2252.1765897</v>
      </c>
      <c r="C79">
        <v>2646</v>
      </c>
      <c r="D79" s="3">
        <f t="shared" si="4"/>
        <v>2370.0282948499998</v>
      </c>
      <c r="E79" s="3">
        <f t="shared" si="5"/>
        <v>2349.0282948499998</v>
      </c>
    </row>
    <row r="80" spans="1:6" x14ac:dyDescent="0.25">
      <c r="A80" s="3">
        <v>2559.91</v>
      </c>
      <c r="B80" s="3">
        <v>2304.4277709500002</v>
      </c>
      <c r="C80">
        <v>2685</v>
      </c>
      <c r="D80" s="3">
        <f t="shared" si="4"/>
        <v>2432.168885475</v>
      </c>
      <c r="E80" s="3">
        <f t="shared" si="5"/>
        <v>2411.168885475</v>
      </c>
    </row>
    <row r="81" spans="1:6" x14ac:dyDescent="0.25">
      <c r="A81" s="3">
        <v>2606.31</v>
      </c>
      <c r="B81" s="3">
        <v>2303.8153385000001</v>
      </c>
      <c r="C81">
        <v>2697</v>
      </c>
      <c r="D81" s="3">
        <f t="shared" si="4"/>
        <v>2455.06266925</v>
      </c>
      <c r="E81" s="3">
        <f t="shared" si="5"/>
        <v>2434.06266925</v>
      </c>
    </row>
    <row r="82" spans="1:6" x14ac:dyDescent="0.25">
      <c r="A82" s="3">
        <v>2601.9499999999998</v>
      </c>
      <c r="B82" s="3">
        <v>2301.9683199999999</v>
      </c>
      <c r="C82">
        <v>2696</v>
      </c>
      <c r="D82" s="3">
        <f t="shared" si="4"/>
        <v>2451.9591599999999</v>
      </c>
      <c r="E82" s="3">
        <f t="shared" si="5"/>
        <v>2430.9591599999999</v>
      </c>
    </row>
    <row r="83" spans="1:6" x14ac:dyDescent="0.25">
      <c r="A83" s="3">
        <v>2592.56</v>
      </c>
      <c r="B83" s="3">
        <v>2281.5539049999998</v>
      </c>
      <c r="C83">
        <v>2680</v>
      </c>
      <c r="D83" s="3">
        <f t="shared" si="4"/>
        <v>2437.0569525000001</v>
      </c>
      <c r="E83" s="3">
        <f t="shared" si="5"/>
        <v>2416.0569525000001</v>
      </c>
    </row>
    <row r="84" spans="1:6" x14ac:dyDescent="0.25">
      <c r="A84" s="3">
        <v>2537.52</v>
      </c>
      <c r="B84" s="3">
        <v>2279.6096750000002</v>
      </c>
      <c r="C84">
        <v>2660</v>
      </c>
      <c r="D84" s="3">
        <f t="shared" si="4"/>
        <v>2408.5648375000001</v>
      </c>
      <c r="E84" s="3">
        <f t="shared" si="5"/>
        <v>2387.5648375000001</v>
      </c>
    </row>
    <row r="85" spans="1:6" x14ac:dyDescent="0.25">
      <c r="A85" s="3">
        <v>2443.29</v>
      </c>
      <c r="B85" s="3">
        <v>2312.2046909500004</v>
      </c>
      <c r="C85">
        <v>2583</v>
      </c>
      <c r="D85" s="3">
        <f t="shared" si="4"/>
        <v>2377.7473454750002</v>
      </c>
      <c r="E85" s="3">
        <f t="shared" si="5"/>
        <v>2356.7473454750002</v>
      </c>
    </row>
    <row r="86" spans="1:6" x14ac:dyDescent="0.25">
      <c r="A86" s="3">
        <v>2359.46</v>
      </c>
      <c r="B86" s="3">
        <v>2297.4674275500001</v>
      </c>
      <c r="C86">
        <v>2546</v>
      </c>
      <c r="D86" s="3">
        <f t="shared" si="4"/>
        <v>2328.4637137750001</v>
      </c>
      <c r="E86" s="3">
        <f t="shared" si="5"/>
        <v>2307.4637137750001</v>
      </c>
    </row>
    <row r="87" spans="1:6" x14ac:dyDescent="0.25">
      <c r="A87" s="3">
        <v>2306.3000000000002</v>
      </c>
      <c r="B87" s="3">
        <v>2308.2870674999999</v>
      </c>
      <c r="C87">
        <v>2500</v>
      </c>
      <c r="D87" s="3">
        <f t="shared" si="4"/>
        <v>2307.2935337500003</v>
      </c>
      <c r="E87" s="3">
        <f t="shared" si="5"/>
        <v>2286.2935337500003</v>
      </c>
    </row>
    <row r="88" spans="1:6" x14ac:dyDescent="0.25">
      <c r="A88" s="8">
        <v>2313.4899999999998</v>
      </c>
      <c r="B88" s="3">
        <v>2290.4098726500001</v>
      </c>
      <c r="C88" s="6">
        <v>2506</v>
      </c>
      <c r="D88" s="3">
        <f t="shared" si="4"/>
        <v>2301.9499363249997</v>
      </c>
      <c r="E88" s="3">
        <f t="shared" si="5"/>
        <v>2280.9499363249997</v>
      </c>
      <c r="F88" s="6"/>
    </row>
    <row r="89" spans="1:6" x14ac:dyDescent="0.25">
      <c r="A89" s="3">
        <v>2347.0300000000002</v>
      </c>
      <c r="B89" s="3">
        <v>2287.6879506499999</v>
      </c>
      <c r="C89">
        <v>2524</v>
      </c>
      <c r="D89" s="3">
        <f t="shared" si="4"/>
        <v>2317.3589753249998</v>
      </c>
      <c r="E89" s="3">
        <f t="shared" si="5"/>
        <v>2296.3589753249998</v>
      </c>
    </row>
    <row r="90" spans="1:6" x14ac:dyDescent="0.25">
      <c r="A90" s="3">
        <v>2318.36</v>
      </c>
      <c r="B90" s="3">
        <v>2304.2041844999999</v>
      </c>
      <c r="C90">
        <v>2518</v>
      </c>
      <c r="D90" s="3">
        <f t="shared" si="4"/>
        <v>2311.28209225</v>
      </c>
      <c r="E90" s="3">
        <f t="shared" si="5"/>
        <v>2290.28209225</v>
      </c>
    </row>
    <row r="91" spans="1:6" x14ac:dyDescent="0.25">
      <c r="A91" s="3">
        <v>2301.48</v>
      </c>
      <c r="B91" s="3">
        <v>2320.3607357999999</v>
      </c>
      <c r="C91">
        <v>2504</v>
      </c>
      <c r="D91" s="3">
        <f t="shared" si="4"/>
        <v>2310.9203679000002</v>
      </c>
      <c r="E91" s="3">
        <f t="shared" si="5"/>
        <v>2289.9203679000002</v>
      </c>
    </row>
    <row r="92" spans="1:6" x14ac:dyDescent="0.25">
      <c r="A92" s="3">
        <v>2389.0300000000002</v>
      </c>
      <c r="B92" s="3">
        <v>2352.2558289500003</v>
      </c>
      <c r="C92">
        <v>2548</v>
      </c>
      <c r="D92" s="3">
        <f t="shared" si="4"/>
        <v>2370.642914475</v>
      </c>
      <c r="E92" s="3">
        <f t="shared" si="5"/>
        <v>2349.642914475</v>
      </c>
    </row>
    <row r="93" spans="1:6" x14ac:dyDescent="0.25">
      <c r="A93" s="3">
        <v>2415.4299999999998</v>
      </c>
      <c r="B93" s="3">
        <v>2339.5405647500002</v>
      </c>
      <c r="C93">
        <v>2566</v>
      </c>
      <c r="D93" s="3">
        <f t="shared" si="4"/>
        <v>2377.4852823749998</v>
      </c>
      <c r="E93" s="3">
        <f t="shared" si="5"/>
        <v>2356.4852823749998</v>
      </c>
    </row>
    <row r="94" spans="1:6" x14ac:dyDescent="0.25">
      <c r="A94" s="3">
        <v>2389.06</v>
      </c>
      <c r="B94" s="3">
        <v>2331.5595006000003</v>
      </c>
      <c r="C94">
        <v>2550</v>
      </c>
      <c r="D94" s="3">
        <f t="shared" si="4"/>
        <v>2360.3097502999999</v>
      </c>
      <c r="E94" s="3">
        <f t="shared" si="5"/>
        <v>2339.3097502999999</v>
      </c>
    </row>
    <row r="95" spans="1:6" x14ac:dyDescent="0.25">
      <c r="A95" s="3">
        <v>2360.96</v>
      </c>
      <c r="B95" s="3">
        <v>2294.1719576999999</v>
      </c>
      <c r="C95">
        <v>2540</v>
      </c>
      <c r="D95" s="3">
        <f t="shared" si="4"/>
        <v>2327.5659788499997</v>
      </c>
      <c r="E95" s="3">
        <f t="shared" si="5"/>
        <v>2306.5659788499997</v>
      </c>
    </row>
    <row r="96" spans="1:6" x14ac:dyDescent="0.25">
      <c r="A96" s="3">
        <v>2321</v>
      </c>
      <c r="B96" s="3">
        <v>2291.0417474000001</v>
      </c>
      <c r="C96">
        <v>2520</v>
      </c>
      <c r="D96" s="3">
        <f t="shared" si="4"/>
        <v>2306.0208737000003</v>
      </c>
      <c r="E96" s="3">
        <f t="shared" si="5"/>
        <v>2285.0208737000003</v>
      </c>
    </row>
    <row r="97" spans="1:6" ht="15.75" x14ac:dyDescent="0.25">
      <c r="A97" s="21">
        <f>AVERAGE(A1:A96)*0.24</f>
        <v>572.60074999999972</v>
      </c>
      <c r="B97" s="21">
        <f>AVERAGE(B1:B96)*0.24</f>
        <v>550.00779966025004</v>
      </c>
      <c r="C97" s="21">
        <f>AVERAGE(C1:C96)*0.24</f>
        <v>609.69749999999999</v>
      </c>
      <c r="D97" s="21">
        <f>AVERAGE(D1:D96)*0.24</f>
        <v>561.30427483012488</v>
      </c>
      <c r="E97" s="47">
        <f>AVERAGE(E1:E96)*0.24</f>
        <v>556.26427483012492</v>
      </c>
      <c r="F97" s="4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0"/>
  <sheetViews>
    <sheetView workbookViewId="0">
      <selection activeCell="H34" sqref="H34"/>
    </sheetView>
  </sheetViews>
  <sheetFormatPr defaultRowHeight="15" x14ac:dyDescent="0.25"/>
  <sheetData>
    <row r="2" spans="1:5" ht="15.75" x14ac:dyDescent="0.25">
      <c r="A2" s="48">
        <v>3297</v>
      </c>
      <c r="B2" s="3">
        <v>3527.87</v>
      </c>
      <c r="C2">
        <f t="shared" ref="C2:C33" si="0">MIN(A2:B2)</f>
        <v>3297</v>
      </c>
      <c r="D2" s="3">
        <f t="shared" ref="D2:D33" si="1">AVERAGE(B2:C2)</f>
        <v>3412.4349999999999</v>
      </c>
      <c r="E2" s="3">
        <f t="shared" ref="E2:E33" si="2">D2-196</f>
        <v>3216.4349999999999</v>
      </c>
    </row>
    <row r="3" spans="1:5" ht="15.75" x14ac:dyDescent="0.25">
      <c r="A3" s="48">
        <v>3271</v>
      </c>
      <c r="B3" s="3">
        <v>3514.56</v>
      </c>
      <c r="C3">
        <f t="shared" si="0"/>
        <v>3271</v>
      </c>
      <c r="D3" s="3">
        <f t="shared" si="1"/>
        <v>3392.7799999999997</v>
      </c>
      <c r="E3" s="3">
        <f t="shared" si="2"/>
        <v>3196.7799999999997</v>
      </c>
    </row>
    <row r="4" spans="1:5" ht="15.75" x14ac:dyDescent="0.25">
      <c r="A4" s="48">
        <v>3284</v>
      </c>
      <c r="B4" s="3">
        <v>3508.66</v>
      </c>
      <c r="C4">
        <f t="shared" si="0"/>
        <v>3284</v>
      </c>
      <c r="D4" s="3">
        <f t="shared" si="1"/>
        <v>3396.33</v>
      </c>
      <c r="E4" s="3">
        <f t="shared" si="2"/>
        <v>3200.33</v>
      </c>
    </row>
    <row r="5" spans="1:5" ht="15.75" x14ac:dyDescent="0.25">
      <c r="A5" s="48">
        <v>3267</v>
      </c>
      <c r="B5" s="3">
        <v>3493.39</v>
      </c>
      <c r="C5">
        <f t="shared" si="0"/>
        <v>3267</v>
      </c>
      <c r="D5" s="3">
        <f t="shared" si="1"/>
        <v>3380.1949999999997</v>
      </c>
      <c r="E5" s="3">
        <f t="shared" si="2"/>
        <v>3184.1949999999997</v>
      </c>
    </row>
    <row r="6" spans="1:5" ht="15.75" x14ac:dyDescent="0.25">
      <c r="A6" s="48">
        <v>3248</v>
      </c>
      <c r="B6" s="3">
        <v>3473.72</v>
      </c>
      <c r="C6">
        <f t="shared" si="0"/>
        <v>3248</v>
      </c>
      <c r="D6" s="3">
        <f t="shared" si="1"/>
        <v>3360.8599999999997</v>
      </c>
      <c r="E6" s="3">
        <f t="shared" si="2"/>
        <v>3164.8599999999997</v>
      </c>
    </row>
    <row r="7" spans="1:5" ht="15.75" x14ac:dyDescent="0.25">
      <c r="A7" s="48">
        <v>3239</v>
      </c>
      <c r="B7" s="3">
        <v>3426.57</v>
      </c>
      <c r="C7">
        <f t="shared" si="0"/>
        <v>3239</v>
      </c>
      <c r="D7" s="3">
        <f t="shared" si="1"/>
        <v>3332.7849999999999</v>
      </c>
      <c r="E7" s="3">
        <f t="shared" si="2"/>
        <v>3136.7849999999999</v>
      </c>
    </row>
    <row r="8" spans="1:5" ht="15.75" x14ac:dyDescent="0.25">
      <c r="A8" s="48">
        <v>3220</v>
      </c>
      <c r="B8" s="3">
        <v>3431.82</v>
      </c>
      <c r="C8">
        <f t="shared" si="0"/>
        <v>3220</v>
      </c>
      <c r="D8" s="3">
        <f t="shared" si="1"/>
        <v>3325.91</v>
      </c>
      <c r="E8" s="3">
        <f t="shared" si="2"/>
        <v>3129.91</v>
      </c>
    </row>
    <row r="9" spans="1:5" ht="15.75" x14ac:dyDescent="0.25">
      <c r="A9" s="48">
        <v>3204</v>
      </c>
      <c r="B9" s="3">
        <v>3431.57</v>
      </c>
      <c r="C9">
        <f t="shared" si="0"/>
        <v>3204</v>
      </c>
      <c r="D9" s="3">
        <f t="shared" si="1"/>
        <v>3317.7849999999999</v>
      </c>
      <c r="E9" s="3">
        <f t="shared" si="2"/>
        <v>3121.7849999999999</v>
      </c>
    </row>
    <row r="10" spans="1:5" ht="15.75" x14ac:dyDescent="0.25">
      <c r="A10" s="48">
        <v>3186</v>
      </c>
      <c r="B10" s="3">
        <v>3411.3</v>
      </c>
      <c r="C10">
        <f t="shared" si="0"/>
        <v>3186</v>
      </c>
      <c r="D10" s="3">
        <f t="shared" si="1"/>
        <v>3298.65</v>
      </c>
      <c r="E10" s="3">
        <f t="shared" si="2"/>
        <v>3102.65</v>
      </c>
    </row>
    <row r="11" spans="1:5" ht="15.75" x14ac:dyDescent="0.25">
      <c r="A11" s="48">
        <v>3142</v>
      </c>
      <c r="B11" s="3">
        <v>3412.31</v>
      </c>
      <c r="C11">
        <f t="shared" si="0"/>
        <v>3142</v>
      </c>
      <c r="D11" s="3">
        <f t="shared" si="1"/>
        <v>3277.1549999999997</v>
      </c>
      <c r="E11" s="3">
        <f t="shared" si="2"/>
        <v>3081.1549999999997</v>
      </c>
    </row>
    <row r="12" spans="1:5" ht="15.75" x14ac:dyDescent="0.25">
      <c r="A12" s="48">
        <v>3151</v>
      </c>
      <c r="B12" s="3">
        <v>3363.08</v>
      </c>
      <c r="C12">
        <f t="shared" si="0"/>
        <v>3151</v>
      </c>
      <c r="D12" s="3">
        <f t="shared" si="1"/>
        <v>3257.04</v>
      </c>
      <c r="E12" s="3">
        <f t="shared" si="2"/>
        <v>3061.04</v>
      </c>
    </row>
    <row r="13" spans="1:5" ht="15.75" x14ac:dyDescent="0.25">
      <c r="A13" s="48">
        <v>3150</v>
      </c>
      <c r="B13" s="3">
        <v>3355.02</v>
      </c>
      <c r="C13">
        <f t="shared" si="0"/>
        <v>3150</v>
      </c>
      <c r="D13" s="3">
        <f t="shared" si="1"/>
        <v>3252.51</v>
      </c>
      <c r="E13" s="3">
        <f t="shared" si="2"/>
        <v>3056.51</v>
      </c>
    </row>
    <row r="14" spans="1:5" ht="15.75" x14ac:dyDescent="0.25">
      <c r="A14" s="48">
        <v>3167</v>
      </c>
      <c r="B14" s="3">
        <v>3385.96</v>
      </c>
      <c r="C14">
        <f t="shared" si="0"/>
        <v>3167</v>
      </c>
      <c r="D14" s="3">
        <f t="shared" si="1"/>
        <v>3276.48</v>
      </c>
      <c r="E14" s="3">
        <f t="shared" si="2"/>
        <v>3080.48</v>
      </c>
    </row>
    <row r="15" spans="1:5" ht="15.75" x14ac:dyDescent="0.25">
      <c r="A15" s="48">
        <v>3161</v>
      </c>
      <c r="B15" s="3">
        <v>3354.78</v>
      </c>
      <c r="C15">
        <f t="shared" si="0"/>
        <v>3161</v>
      </c>
      <c r="D15" s="3">
        <f t="shared" si="1"/>
        <v>3257.8900000000003</v>
      </c>
      <c r="E15" s="3">
        <f t="shared" si="2"/>
        <v>3061.8900000000003</v>
      </c>
    </row>
    <row r="16" spans="1:5" ht="15.75" x14ac:dyDescent="0.25">
      <c r="A16" s="48">
        <v>3132</v>
      </c>
      <c r="B16" s="3">
        <v>3350.98</v>
      </c>
      <c r="C16">
        <f t="shared" si="0"/>
        <v>3132</v>
      </c>
      <c r="D16" s="3">
        <f t="shared" si="1"/>
        <v>3241.49</v>
      </c>
      <c r="E16" s="3">
        <f t="shared" si="2"/>
        <v>3045.49</v>
      </c>
    </row>
    <row r="17" spans="1:5" ht="15.75" x14ac:dyDescent="0.25">
      <c r="A17" s="48">
        <v>3115</v>
      </c>
      <c r="B17" s="3">
        <v>3346.53</v>
      </c>
      <c r="C17">
        <f t="shared" si="0"/>
        <v>3115</v>
      </c>
      <c r="D17" s="3">
        <f t="shared" si="1"/>
        <v>3230.7650000000003</v>
      </c>
      <c r="E17" s="3">
        <f t="shared" si="2"/>
        <v>3034.7650000000003</v>
      </c>
    </row>
    <row r="18" spans="1:5" ht="15.75" x14ac:dyDescent="0.25">
      <c r="A18" s="48">
        <v>3109</v>
      </c>
      <c r="B18" s="3">
        <v>3330.12</v>
      </c>
      <c r="C18">
        <f t="shared" si="0"/>
        <v>3109</v>
      </c>
      <c r="D18" s="3">
        <f t="shared" si="1"/>
        <v>3219.56</v>
      </c>
      <c r="E18" s="3">
        <f t="shared" si="2"/>
        <v>3023.56</v>
      </c>
    </row>
    <row r="19" spans="1:5" ht="15.75" x14ac:dyDescent="0.25">
      <c r="A19" s="48">
        <v>3089</v>
      </c>
      <c r="B19" s="3">
        <v>3291.44</v>
      </c>
      <c r="C19">
        <f t="shared" si="0"/>
        <v>3089</v>
      </c>
      <c r="D19" s="3">
        <f t="shared" si="1"/>
        <v>3190.2200000000003</v>
      </c>
      <c r="E19" s="3">
        <f t="shared" si="2"/>
        <v>2994.2200000000003</v>
      </c>
    </row>
    <row r="20" spans="1:5" ht="15.75" x14ac:dyDescent="0.25">
      <c r="A20" s="48">
        <v>3090</v>
      </c>
      <c r="B20" s="3">
        <v>3252.34</v>
      </c>
      <c r="C20">
        <f t="shared" si="0"/>
        <v>3090</v>
      </c>
      <c r="D20" s="3">
        <f t="shared" si="1"/>
        <v>3171.17</v>
      </c>
      <c r="E20" s="3">
        <f t="shared" si="2"/>
        <v>2975.17</v>
      </c>
    </row>
    <row r="21" spans="1:5" ht="15.75" x14ac:dyDescent="0.25">
      <c r="A21" s="48">
        <v>3082</v>
      </c>
      <c r="B21" s="8">
        <v>3210.06</v>
      </c>
      <c r="C21">
        <f t="shared" si="0"/>
        <v>3082</v>
      </c>
      <c r="D21" s="3">
        <f t="shared" si="1"/>
        <v>3146.0299999999997</v>
      </c>
      <c r="E21" s="3">
        <f t="shared" si="2"/>
        <v>2950.0299999999997</v>
      </c>
    </row>
    <row r="22" spans="1:5" ht="15.75" x14ac:dyDescent="0.25">
      <c r="A22" s="48">
        <v>3094</v>
      </c>
      <c r="B22" s="3">
        <v>3210.06</v>
      </c>
      <c r="C22">
        <f t="shared" si="0"/>
        <v>3094</v>
      </c>
      <c r="D22" s="3">
        <f t="shared" si="1"/>
        <v>3152.0299999999997</v>
      </c>
      <c r="E22" s="3">
        <f t="shared" si="2"/>
        <v>2956.0299999999997</v>
      </c>
    </row>
    <row r="23" spans="1:5" ht="15.75" x14ac:dyDescent="0.25">
      <c r="A23" s="48">
        <v>3099</v>
      </c>
      <c r="B23" s="3">
        <v>3154.94</v>
      </c>
      <c r="C23">
        <f t="shared" si="0"/>
        <v>3099</v>
      </c>
      <c r="D23" s="3">
        <f t="shared" si="1"/>
        <v>3126.9700000000003</v>
      </c>
      <c r="E23" s="3">
        <f t="shared" si="2"/>
        <v>2930.9700000000003</v>
      </c>
    </row>
    <row r="24" spans="1:5" ht="15.75" x14ac:dyDescent="0.25">
      <c r="A24" s="48">
        <v>3078</v>
      </c>
      <c r="B24" s="3">
        <v>3101.85</v>
      </c>
      <c r="C24">
        <f t="shared" si="0"/>
        <v>3078</v>
      </c>
      <c r="D24" s="3">
        <f t="shared" si="1"/>
        <v>3089.9250000000002</v>
      </c>
      <c r="E24" s="3">
        <f t="shared" si="2"/>
        <v>2893.9250000000002</v>
      </c>
    </row>
    <row r="25" spans="1:5" ht="15.75" x14ac:dyDescent="0.25">
      <c r="A25" s="48">
        <v>3105</v>
      </c>
      <c r="B25" s="3">
        <v>3082.14</v>
      </c>
      <c r="C25">
        <f t="shared" si="0"/>
        <v>3082.14</v>
      </c>
      <c r="D25" s="3">
        <f t="shared" si="1"/>
        <v>3082.14</v>
      </c>
      <c r="E25" s="3">
        <f t="shared" si="2"/>
        <v>2886.14</v>
      </c>
    </row>
    <row r="26" spans="1:5" ht="15.75" x14ac:dyDescent="0.25">
      <c r="A26" s="48">
        <v>3123</v>
      </c>
      <c r="B26" s="3">
        <v>3018.9</v>
      </c>
      <c r="C26">
        <f t="shared" si="0"/>
        <v>3018.9</v>
      </c>
      <c r="D26" s="3">
        <f t="shared" si="1"/>
        <v>3018.9</v>
      </c>
      <c r="E26" s="3">
        <f t="shared" si="2"/>
        <v>2822.9</v>
      </c>
    </row>
    <row r="27" spans="1:5" ht="15.75" x14ac:dyDescent="0.25">
      <c r="A27" s="48">
        <v>3098</v>
      </c>
      <c r="B27" s="3">
        <v>2925.63</v>
      </c>
      <c r="C27">
        <f t="shared" si="0"/>
        <v>2925.63</v>
      </c>
      <c r="D27" s="3">
        <f t="shared" si="1"/>
        <v>2925.63</v>
      </c>
      <c r="E27" s="3">
        <f t="shared" si="2"/>
        <v>2729.63</v>
      </c>
    </row>
    <row r="28" spans="1:5" ht="15.75" x14ac:dyDescent="0.25">
      <c r="A28" s="48">
        <v>3137</v>
      </c>
      <c r="B28" s="3">
        <v>2875.09</v>
      </c>
      <c r="C28">
        <f t="shared" si="0"/>
        <v>2875.09</v>
      </c>
      <c r="D28" s="3">
        <f t="shared" si="1"/>
        <v>2875.09</v>
      </c>
      <c r="E28" s="3">
        <f t="shared" si="2"/>
        <v>2679.09</v>
      </c>
    </row>
    <row r="29" spans="1:5" ht="15.75" x14ac:dyDescent="0.25">
      <c r="A29" s="48">
        <v>3140</v>
      </c>
      <c r="B29" s="3">
        <v>2888.65</v>
      </c>
      <c r="C29">
        <f t="shared" si="0"/>
        <v>2888.65</v>
      </c>
      <c r="D29" s="3">
        <f t="shared" si="1"/>
        <v>2888.65</v>
      </c>
      <c r="E29" s="3">
        <f t="shared" si="2"/>
        <v>2692.65</v>
      </c>
    </row>
    <row r="30" spans="1:5" ht="15.75" x14ac:dyDescent="0.25">
      <c r="A30" s="48">
        <v>3133</v>
      </c>
      <c r="B30" s="3">
        <v>3005.16</v>
      </c>
      <c r="C30">
        <f t="shared" si="0"/>
        <v>3005.16</v>
      </c>
      <c r="D30" s="3">
        <f t="shared" si="1"/>
        <v>3005.16</v>
      </c>
      <c r="E30" s="3">
        <f t="shared" si="2"/>
        <v>2809.16</v>
      </c>
    </row>
    <row r="31" spans="1:5" ht="15.75" x14ac:dyDescent="0.25">
      <c r="A31" s="48">
        <v>3109</v>
      </c>
      <c r="B31" s="3">
        <v>3043.52</v>
      </c>
      <c r="C31">
        <f t="shared" si="0"/>
        <v>3043.52</v>
      </c>
      <c r="D31" s="3">
        <f t="shared" si="1"/>
        <v>3043.52</v>
      </c>
      <c r="E31" s="3">
        <f t="shared" si="2"/>
        <v>2847.52</v>
      </c>
    </row>
    <row r="32" spans="1:5" ht="15.75" x14ac:dyDescent="0.25">
      <c r="A32" s="48">
        <v>3102</v>
      </c>
      <c r="B32" s="3">
        <v>3096.52</v>
      </c>
      <c r="C32">
        <f t="shared" si="0"/>
        <v>3096.52</v>
      </c>
      <c r="D32" s="3">
        <f t="shared" si="1"/>
        <v>3096.52</v>
      </c>
      <c r="E32" s="3">
        <f t="shared" si="2"/>
        <v>2900.52</v>
      </c>
    </row>
    <row r="33" spans="1:5" ht="15.75" x14ac:dyDescent="0.25">
      <c r="A33" s="48">
        <v>2997</v>
      </c>
      <c r="B33" s="3">
        <v>3092.8</v>
      </c>
      <c r="C33">
        <f t="shared" si="0"/>
        <v>2997</v>
      </c>
      <c r="D33" s="3">
        <f t="shared" si="1"/>
        <v>3044.9</v>
      </c>
      <c r="E33" s="3">
        <f t="shared" si="2"/>
        <v>2848.9</v>
      </c>
    </row>
    <row r="34" spans="1:5" ht="15.75" x14ac:dyDescent="0.25">
      <c r="A34" s="48">
        <v>3048</v>
      </c>
      <c r="B34" s="9">
        <v>3028.56</v>
      </c>
      <c r="C34">
        <f t="shared" ref="C34:C65" si="3">MIN(A34:B34)</f>
        <v>3028.56</v>
      </c>
      <c r="D34" s="3">
        <f t="shared" ref="D34:D65" si="4">AVERAGE(B34:C34)</f>
        <v>3028.56</v>
      </c>
      <c r="E34" s="3">
        <f t="shared" ref="E34:E65" si="5">D34-196</f>
        <v>2832.56</v>
      </c>
    </row>
    <row r="35" spans="1:5" ht="15.75" x14ac:dyDescent="0.25">
      <c r="A35" s="48">
        <v>3000</v>
      </c>
      <c r="B35" s="3">
        <v>2962.79</v>
      </c>
      <c r="C35">
        <f t="shared" si="3"/>
        <v>2962.79</v>
      </c>
      <c r="D35" s="3">
        <f t="shared" si="4"/>
        <v>2962.79</v>
      </c>
      <c r="E35" s="3">
        <f t="shared" si="5"/>
        <v>2766.79</v>
      </c>
    </row>
    <row r="36" spans="1:5" ht="15.75" x14ac:dyDescent="0.25">
      <c r="A36" s="48">
        <v>3060</v>
      </c>
      <c r="B36" s="3">
        <v>3052.46</v>
      </c>
      <c r="C36">
        <f t="shared" si="3"/>
        <v>3052.46</v>
      </c>
      <c r="D36" s="3">
        <f t="shared" si="4"/>
        <v>3052.46</v>
      </c>
      <c r="E36" s="3">
        <f t="shared" si="5"/>
        <v>2856.46</v>
      </c>
    </row>
    <row r="37" spans="1:5" ht="15.75" x14ac:dyDescent="0.25">
      <c r="A37" s="48">
        <v>3058</v>
      </c>
      <c r="B37" s="3">
        <v>3146.32</v>
      </c>
      <c r="C37">
        <f t="shared" si="3"/>
        <v>3058</v>
      </c>
      <c r="D37" s="3">
        <f t="shared" si="4"/>
        <v>3102.16</v>
      </c>
      <c r="E37" s="3">
        <f t="shared" si="5"/>
        <v>2906.16</v>
      </c>
    </row>
    <row r="38" spans="1:5" ht="15.75" x14ac:dyDescent="0.25">
      <c r="A38" s="48">
        <v>3119</v>
      </c>
      <c r="B38" s="3">
        <v>3191.23</v>
      </c>
      <c r="C38">
        <f t="shared" si="3"/>
        <v>3119</v>
      </c>
      <c r="D38" s="3">
        <f t="shared" si="4"/>
        <v>3155.1149999999998</v>
      </c>
      <c r="E38" s="3">
        <f t="shared" si="5"/>
        <v>2959.1149999999998</v>
      </c>
    </row>
    <row r="39" spans="1:5" ht="15.75" x14ac:dyDescent="0.25">
      <c r="A39" s="48">
        <v>3107</v>
      </c>
      <c r="B39" s="3">
        <v>3193.47</v>
      </c>
      <c r="C39">
        <f t="shared" si="3"/>
        <v>3107</v>
      </c>
      <c r="D39" s="3">
        <f t="shared" si="4"/>
        <v>3150.2349999999997</v>
      </c>
      <c r="E39" s="3">
        <f t="shared" si="5"/>
        <v>2954.2349999999997</v>
      </c>
    </row>
    <row r="40" spans="1:5" ht="15.75" x14ac:dyDescent="0.25">
      <c r="A40" s="48">
        <v>3088</v>
      </c>
      <c r="B40" s="3">
        <v>3216.63</v>
      </c>
      <c r="C40">
        <f t="shared" si="3"/>
        <v>3088</v>
      </c>
      <c r="D40" s="3">
        <f t="shared" si="4"/>
        <v>3152.3150000000001</v>
      </c>
      <c r="E40" s="3">
        <f t="shared" si="5"/>
        <v>2956.3150000000001</v>
      </c>
    </row>
    <row r="41" spans="1:5" ht="15.75" x14ac:dyDescent="0.25">
      <c r="A41" s="48">
        <v>3078</v>
      </c>
      <c r="B41" s="3">
        <v>3211.43</v>
      </c>
      <c r="C41">
        <f t="shared" si="3"/>
        <v>3078</v>
      </c>
      <c r="D41" s="3">
        <f t="shared" si="4"/>
        <v>3144.7150000000001</v>
      </c>
      <c r="E41" s="3">
        <f t="shared" si="5"/>
        <v>2948.7150000000001</v>
      </c>
    </row>
    <row r="42" spans="1:5" ht="15.75" x14ac:dyDescent="0.25">
      <c r="A42" s="48">
        <v>3094</v>
      </c>
      <c r="B42" s="8">
        <v>3232.59</v>
      </c>
      <c r="C42">
        <f t="shared" si="3"/>
        <v>3094</v>
      </c>
      <c r="D42" s="3">
        <f t="shared" si="4"/>
        <v>3163.2950000000001</v>
      </c>
      <c r="E42" s="3">
        <f t="shared" si="5"/>
        <v>2967.2950000000001</v>
      </c>
    </row>
    <row r="43" spans="1:5" ht="15.75" x14ac:dyDescent="0.25">
      <c r="A43" s="48">
        <v>3081</v>
      </c>
      <c r="B43" s="3">
        <v>3235.69</v>
      </c>
      <c r="C43">
        <f t="shared" si="3"/>
        <v>3081</v>
      </c>
      <c r="D43" s="3">
        <f t="shared" si="4"/>
        <v>3158.3450000000003</v>
      </c>
      <c r="E43" s="3">
        <f t="shared" si="5"/>
        <v>2962.3450000000003</v>
      </c>
    </row>
    <row r="44" spans="1:5" ht="15.75" x14ac:dyDescent="0.25">
      <c r="A44" s="48">
        <v>3045</v>
      </c>
      <c r="B44" s="3">
        <v>3275.61</v>
      </c>
      <c r="C44">
        <f t="shared" si="3"/>
        <v>3045</v>
      </c>
      <c r="D44" s="3">
        <f t="shared" si="4"/>
        <v>3160.3050000000003</v>
      </c>
      <c r="E44" s="3">
        <f t="shared" si="5"/>
        <v>2964.3050000000003</v>
      </c>
    </row>
    <row r="45" spans="1:5" ht="15.75" x14ac:dyDescent="0.25">
      <c r="A45" s="48">
        <v>3038</v>
      </c>
      <c r="B45" s="3">
        <v>3277.67</v>
      </c>
      <c r="C45">
        <f t="shared" si="3"/>
        <v>3038</v>
      </c>
      <c r="D45" s="3">
        <f t="shared" si="4"/>
        <v>3157.835</v>
      </c>
      <c r="E45" s="3">
        <f t="shared" si="5"/>
        <v>2961.835</v>
      </c>
    </row>
    <row r="46" spans="1:5" ht="15.75" x14ac:dyDescent="0.25">
      <c r="A46" s="48">
        <v>3019</v>
      </c>
      <c r="B46" s="3">
        <v>3241.04</v>
      </c>
      <c r="C46">
        <f t="shared" si="3"/>
        <v>3019</v>
      </c>
      <c r="D46" s="3">
        <f t="shared" si="4"/>
        <v>3130.02</v>
      </c>
      <c r="E46" s="3">
        <f t="shared" si="5"/>
        <v>2934.02</v>
      </c>
    </row>
    <row r="47" spans="1:5" ht="15.75" x14ac:dyDescent="0.25">
      <c r="A47" s="48">
        <v>3030</v>
      </c>
      <c r="B47" s="3">
        <v>3231.61</v>
      </c>
      <c r="C47">
        <f t="shared" si="3"/>
        <v>3030</v>
      </c>
      <c r="D47" s="3">
        <f t="shared" si="4"/>
        <v>3130.8050000000003</v>
      </c>
      <c r="E47" s="3">
        <f t="shared" si="5"/>
        <v>2934.8050000000003</v>
      </c>
    </row>
    <row r="48" spans="1:5" ht="15.75" x14ac:dyDescent="0.25">
      <c r="A48" s="48">
        <v>2993</v>
      </c>
      <c r="B48" s="3">
        <v>3235.99</v>
      </c>
      <c r="C48">
        <f t="shared" si="3"/>
        <v>2993</v>
      </c>
      <c r="D48" s="3">
        <f t="shared" si="4"/>
        <v>3114.4949999999999</v>
      </c>
      <c r="E48" s="3">
        <f t="shared" si="5"/>
        <v>2918.4949999999999</v>
      </c>
    </row>
    <row r="49" spans="1:5" ht="15.75" x14ac:dyDescent="0.25">
      <c r="A49" s="48">
        <v>2990</v>
      </c>
      <c r="B49" s="3">
        <v>3229.25</v>
      </c>
      <c r="C49">
        <f t="shared" si="3"/>
        <v>2990</v>
      </c>
      <c r="D49" s="3">
        <f t="shared" si="4"/>
        <v>3109.625</v>
      </c>
      <c r="E49" s="3">
        <f t="shared" si="5"/>
        <v>2913.625</v>
      </c>
    </row>
    <row r="50" spans="1:5" ht="15.75" x14ac:dyDescent="0.25">
      <c r="A50" s="48">
        <v>2977</v>
      </c>
      <c r="B50" s="3">
        <v>3200.34</v>
      </c>
      <c r="C50">
        <f t="shared" si="3"/>
        <v>2977</v>
      </c>
      <c r="D50" s="3">
        <f t="shared" si="4"/>
        <v>3088.67</v>
      </c>
      <c r="E50" s="3">
        <f t="shared" si="5"/>
        <v>2892.67</v>
      </c>
    </row>
    <row r="51" spans="1:5" ht="15.75" x14ac:dyDescent="0.25">
      <c r="A51" s="48">
        <v>2930</v>
      </c>
      <c r="B51" s="3">
        <v>3163.88</v>
      </c>
      <c r="C51">
        <f t="shared" si="3"/>
        <v>2930</v>
      </c>
      <c r="D51" s="3">
        <f t="shared" si="4"/>
        <v>3046.94</v>
      </c>
      <c r="E51" s="3">
        <f t="shared" si="5"/>
        <v>2850.94</v>
      </c>
    </row>
    <row r="52" spans="1:5" ht="15.75" x14ac:dyDescent="0.25">
      <c r="A52" s="48">
        <v>2980</v>
      </c>
      <c r="B52" s="3">
        <v>3095.53</v>
      </c>
      <c r="C52">
        <f t="shared" si="3"/>
        <v>2980</v>
      </c>
      <c r="D52" s="3">
        <f t="shared" si="4"/>
        <v>3037.7650000000003</v>
      </c>
      <c r="E52" s="3">
        <f t="shared" si="5"/>
        <v>2841.7650000000003</v>
      </c>
    </row>
    <row r="53" spans="1:5" ht="15.75" x14ac:dyDescent="0.25">
      <c r="A53" s="48">
        <v>3007</v>
      </c>
      <c r="B53" s="3">
        <v>3089.59</v>
      </c>
      <c r="C53">
        <f t="shared" si="3"/>
        <v>3007</v>
      </c>
      <c r="D53" s="3">
        <f t="shared" si="4"/>
        <v>3048.2950000000001</v>
      </c>
      <c r="E53" s="3">
        <f t="shared" si="5"/>
        <v>2852.2950000000001</v>
      </c>
    </row>
    <row r="54" spans="1:5" ht="15.75" x14ac:dyDescent="0.25">
      <c r="A54" s="48">
        <v>3053</v>
      </c>
      <c r="B54" s="3">
        <v>3158.75</v>
      </c>
      <c r="C54">
        <f t="shared" si="3"/>
        <v>3053</v>
      </c>
      <c r="D54" s="3">
        <f t="shared" si="4"/>
        <v>3105.875</v>
      </c>
      <c r="E54" s="3">
        <f t="shared" si="5"/>
        <v>2909.875</v>
      </c>
    </row>
    <row r="55" spans="1:5" ht="15.75" x14ac:dyDescent="0.25">
      <c r="A55" s="48">
        <v>3062</v>
      </c>
      <c r="B55" s="3">
        <v>3165.68</v>
      </c>
      <c r="C55">
        <f t="shared" si="3"/>
        <v>3062</v>
      </c>
      <c r="D55" s="3">
        <f t="shared" si="4"/>
        <v>3113.84</v>
      </c>
      <c r="E55" s="3">
        <f t="shared" si="5"/>
        <v>2917.84</v>
      </c>
    </row>
    <row r="56" spans="1:5" ht="15.75" x14ac:dyDescent="0.25">
      <c r="A56" s="48">
        <v>3059</v>
      </c>
      <c r="B56" s="3">
        <v>3156.24</v>
      </c>
      <c r="C56">
        <f t="shared" si="3"/>
        <v>3059</v>
      </c>
      <c r="D56" s="3">
        <f t="shared" si="4"/>
        <v>3107.62</v>
      </c>
      <c r="E56" s="3">
        <f t="shared" si="5"/>
        <v>2911.62</v>
      </c>
    </row>
    <row r="57" spans="1:5" ht="15.75" x14ac:dyDescent="0.25">
      <c r="A57" s="48">
        <v>3048</v>
      </c>
      <c r="B57" s="3">
        <v>3146.7</v>
      </c>
      <c r="C57">
        <f t="shared" si="3"/>
        <v>3048</v>
      </c>
      <c r="D57" s="3">
        <f t="shared" si="4"/>
        <v>3097.35</v>
      </c>
      <c r="E57" s="3">
        <f t="shared" si="5"/>
        <v>2901.35</v>
      </c>
    </row>
    <row r="58" spans="1:5" ht="15.75" x14ac:dyDescent="0.25">
      <c r="A58" s="48">
        <v>3104</v>
      </c>
      <c r="B58" s="3">
        <v>3107.08</v>
      </c>
      <c r="C58">
        <f t="shared" si="3"/>
        <v>3104</v>
      </c>
      <c r="D58" s="3">
        <f t="shared" si="4"/>
        <v>3105.54</v>
      </c>
      <c r="E58" s="3">
        <f t="shared" si="5"/>
        <v>2909.54</v>
      </c>
    </row>
    <row r="59" spans="1:5" ht="15.75" x14ac:dyDescent="0.25">
      <c r="A59" s="48">
        <v>3105</v>
      </c>
      <c r="B59" s="3">
        <v>3094.21</v>
      </c>
      <c r="C59">
        <f t="shared" si="3"/>
        <v>3094.21</v>
      </c>
      <c r="D59" s="3">
        <f t="shared" si="4"/>
        <v>3094.21</v>
      </c>
      <c r="E59" s="3">
        <f t="shared" si="5"/>
        <v>2898.21</v>
      </c>
    </row>
    <row r="60" spans="1:5" ht="15.75" x14ac:dyDescent="0.25">
      <c r="A60" s="48">
        <v>3125</v>
      </c>
      <c r="B60" s="3">
        <v>3125.68</v>
      </c>
      <c r="C60">
        <f t="shared" si="3"/>
        <v>3125</v>
      </c>
      <c r="D60" s="3">
        <f t="shared" si="4"/>
        <v>3125.34</v>
      </c>
      <c r="E60" s="3">
        <f t="shared" si="5"/>
        <v>2929.34</v>
      </c>
    </row>
    <row r="61" spans="1:5" ht="15.75" x14ac:dyDescent="0.25">
      <c r="A61" s="48">
        <v>3117</v>
      </c>
      <c r="B61" s="3">
        <v>3112.93</v>
      </c>
      <c r="C61">
        <f t="shared" si="3"/>
        <v>3112.93</v>
      </c>
      <c r="D61" s="3">
        <f t="shared" si="4"/>
        <v>3112.93</v>
      </c>
      <c r="E61" s="3">
        <f t="shared" si="5"/>
        <v>2916.93</v>
      </c>
    </row>
    <row r="62" spans="1:5" ht="15.75" x14ac:dyDescent="0.25">
      <c r="A62" s="48">
        <v>3142</v>
      </c>
      <c r="B62" s="3">
        <v>3154.26</v>
      </c>
      <c r="C62">
        <f t="shared" si="3"/>
        <v>3142</v>
      </c>
      <c r="D62" s="3">
        <f t="shared" si="4"/>
        <v>3148.13</v>
      </c>
      <c r="E62" s="3">
        <f t="shared" si="5"/>
        <v>2952.13</v>
      </c>
    </row>
    <row r="63" spans="1:5" ht="15.75" x14ac:dyDescent="0.25">
      <c r="A63" s="48">
        <v>3157</v>
      </c>
      <c r="B63" s="3">
        <v>3133.32</v>
      </c>
      <c r="C63">
        <f t="shared" si="3"/>
        <v>3133.32</v>
      </c>
      <c r="D63" s="3">
        <f t="shared" si="4"/>
        <v>3133.32</v>
      </c>
      <c r="E63" s="3">
        <f t="shared" si="5"/>
        <v>2937.32</v>
      </c>
    </row>
    <row r="64" spans="1:5" ht="15.75" x14ac:dyDescent="0.25">
      <c r="A64" s="48">
        <v>3144</v>
      </c>
      <c r="B64" s="3">
        <v>3129.14</v>
      </c>
      <c r="C64">
        <f t="shared" si="3"/>
        <v>3129.14</v>
      </c>
      <c r="D64" s="3">
        <f t="shared" si="4"/>
        <v>3129.14</v>
      </c>
      <c r="E64" s="3">
        <f t="shared" si="5"/>
        <v>2933.14</v>
      </c>
    </row>
    <row r="65" spans="1:5" ht="15.75" x14ac:dyDescent="0.25">
      <c r="A65" s="48">
        <v>3161</v>
      </c>
      <c r="B65" s="3">
        <v>3121.82</v>
      </c>
      <c r="C65">
        <f t="shared" si="3"/>
        <v>3121.82</v>
      </c>
      <c r="D65" s="3">
        <f t="shared" si="4"/>
        <v>3121.82</v>
      </c>
      <c r="E65" s="3">
        <f t="shared" si="5"/>
        <v>2925.82</v>
      </c>
    </row>
    <row r="66" spans="1:5" ht="15.75" x14ac:dyDescent="0.25">
      <c r="A66" s="48">
        <v>3164</v>
      </c>
      <c r="B66" s="3">
        <v>3104.21</v>
      </c>
      <c r="C66">
        <f t="shared" ref="C66:C97" si="6">MIN(A66:B66)</f>
        <v>3104.21</v>
      </c>
      <c r="D66" s="3">
        <f t="shared" ref="D66:D97" si="7">AVERAGE(B66:C66)</f>
        <v>3104.21</v>
      </c>
      <c r="E66" s="3">
        <f t="shared" ref="E66:E97" si="8">D66-196</f>
        <v>2908.21</v>
      </c>
    </row>
    <row r="67" spans="1:5" ht="15.75" x14ac:dyDescent="0.25">
      <c r="A67" s="48">
        <v>3182</v>
      </c>
      <c r="B67" s="3">
        <v>3077</v>
      </c>
      <c r="C67">
        <f t="shared" si="6"/>
        <v>3077</v>
      </c>
      <c r="D67" s="3">
        <f t="shared" si="7"/>
        <v>3077</v>
      </c>
      <c r="E67" s="3">
        <f t="shared" si="8"/>
        <v>2881</v>
      </c>
    </row>
    <row r="68" spans="1:5" ht="15.75" x14ac:dyDescent="0.25">
      <c r="A68" s="48">
        <v>3166</v>
      </c>
      <c r="B68" s="3">
        <v>3033</v>
      </c>
      <c r="C68">
        <f t="shared" si="6"/>
        <v>3033</v>
      </c>
      <c r="D68" s="3">
        <f t="shared" si="7"/>
        <v>3033</v>
      </c>
      <c r="E68" s="3">
        <f t="shared" si="8"/>
        <v>2837</v>
      </c>
    </row>
    <row r="69" spans="1:5" ht="15.75" x14ac:dyDescent="0.25">
      <c r="A69" s="48">
        <v>3193</v>
      </c>
      <c r="B69" s="3">
        <v>2989</v>
      </c>
      <c r="C69">
        <f t="shared" si="6"/>
        <v>2989</v>
      </c>
      <c r="D69" s="3">
        <f t="shared" si="7"/>
        <v>2989</v>
      </c>
      <c r="E69" s="3">
        <f t="shared" si="8"/>
        <v>2793</v>
      </c>
    </row>
    <row r="70" spans="1:5" ht="15.75" x14ac:dyDescent="0.25">
      <c r="A70" s="48">
        <v>3175</v>
      </c>
      <c r="B70" s="3">
        <v>2938.06</v>
      </c>
      <c r="C70">
        <f t="shared" si="6"/>
        <v>2938.06</v>
      </c>
      <c r="D70" s="3">
        <f t="shared" si="7"/>
        <v>2938.06</v>
      </c>
      <c r="E70" s="3">
        <f t="shared" si="8"/>
        <v>2742.06</v>
      </c>
    </row>
    <row r="71" spans="1:5" ht="15.75" x14ac:dyDescent="0.25">
      <c r="A71" s="48">
        <v>3147</v>
      </c>
      <c r="B71" s="3">
        <v>2894.8</v>
      </c>
      <c r="C71">
        <f t="shared" si="6"/>
        <v>2894.8</v>
      </c>
      <c r="D71" s="3">
        <f t="shared" si="7"/>
        <v>2894.8</v>
      </c>
      <c r="E71" s="3">
        <f t="shared" si="8"/>
        <v>2698.8</v>
      </c>
    </row>
    <row r="72" spans="1:5" ht="15.75" x14ac:dyDescent="0.25">
      <c r="A72" s="48">
        <v>3180</v>
      </c>
      <c r="B72" s="3">
        <v>2900.12</v>
      </c>
      <c r="C72">
        <f t="shared" si="6"/>
        <v>2900.12</v>
      </c>
      <c r="D72" s="3">
        <f t="shared" si="7"/>
        <v>2900.12</v>
      </c>
      <c r="E72" s="3">
        <f t="shared" si="8"/>
        <v>2704.12</v>
      </c>
    </row>
    <row r="73" spans="1:5" ht="15.75" x14ac:dyDescent="0.25">
      <c r="A73" s="48">
        <v>3153</v>
      </c>
      <c r="B73" s="9">
        <v>2864.85</v>
      </c>
      <c r="C73">
        <f t="shared" si="6"/>
        <v>2864.85</v>
      </c>
      <c r="D73" s="3">
        <f t="shared" si="7"/>
        <v>2864.85</v>
      </c>
      <c r="E73" s="3">
        <f t="shared" si="8"/>
        <v>2668.85</v>
      </c>
    </row>
    <row r="74" spans="1:5" ht="15.75" x14ac:dyDescent="0.25">
      <c r="A74" s="48">
        <v>3023</v>
      </c>
      <c r="B74" s="8">
        <v>2776.48</v>
      </c>
      <c r="C74">
        <f t="shared" si="6"/>
        <v>2776.48</v>
      </c>
      <c r="D74" s="3">
        <f t="shared" si="7"/>
        <v>2776.48</v>
      </c>
      <c r="E74" s="3">
        <f t="shared" si="8"/>
        <v>2580.48</v>
      </c>
    </row>
    <row r="75" spans="1:5" ht="15.75" x14ac:dyDescent="0.25">
      <c r="A75" s="48">
        <v>2863</v>
      </c>
      <c r="B75" s="3">
        <v>2580.5500000000002</v>
      </c>
      <c r="C75">
        <f t="shared" si="6"/>
        <v>2580.5500000000002</v>
      </c>
      <c r="D75" s="3">
        <f t="shared" si="7"/>
        <v>2580.5500000000002</v>
      </c>
      <c r="E75" s="3">
        <f t="shared" si="8"/>
        <v>2384.5500000000002</v>
      </c>
    </row>
    <row r="76" spans="1:5" ht="15.75" x14ac:dyDescent="0.25">
      <c r="A76" s="48">
        <v>2783</v>
      </c>
      <c r="B76" s="3">
        <v>2459.29</v>
      </c>
      <c r="C76">
        <f t="shared" si="6"/>
        <v>2459.29</v>
      </c>
      <c r="D76" s="3">
        <f t="shared" si="7"/>
        <v>2459.29</v>
      </c>
      <c r="E76" s="3">
        <f t="shared" si="8"/>
        <v>2263.29</v>
      </c>
    </row>
    <row r="77" spans="1:5" ht="15.75" x14ac:dyDescent="0.25">
      <c r="A77" s="48">
        <v>2761</v>
      </c>
      <c r="B77" s="3">
        <v>2415.62</v>
      </c>
      <c r="C77">
        <f t="shared" si="6"/>
        <v>2415.62</v>
      </c>
      <c r="D77" s="3">
        <f t="shared" si="7"/>
        <v>2415.62</v>
      </c>
      <c r="E77" s="3">
        <f t="shared" si="8"/>
        <v>2219.62</v>
      </c>
    </row>
    <row r="78" spans="1:5" ht="15.75" x14ac:dyDescent="0.25">
      <c r="A78" s="48">
        <v>2795</v>
      </c>
      <c r="B78" s="3">
        <v>2443.2399999999998</v>
      </c>
      <c r="C78">
        <f t="shared" si="6"/>
        <v>2443.2399999999998</v>
      </c>
      <c r="D78" s="3">
        <f t="shared" si="7"/>
        <v>2443.2399999999998</v>
      </c>
      <c r="E78" s="3">
        <f t="shared" si="8"/>
        <v>2247.2399999999998</v>
      </c>
    </row>
    <row r="79" spans="1:5" ht="15.75" x14ac:dyDescent="0.25">
      <c r="A79" s="48">
        <v>2863</v>
      </c>
      <c r="B79" s="3">
        <v>2458.1799999999998</v>
      </c>
      <c r="C79">
        <f t="shared" si="6"/>
        <v>2458.1799999999998</v>
      </c>
      <c r="D79" s="3">
        <f t="shared" si="7"/>
        <v>2458.1799999999998</v>
      </c>
      <c r="E79" s="3">
        <f t="shared" si="8"/>
        <v>2262.1799999999998</v>
      </c>
    </row>
    <row r="80" spans="1:5" ht="15.75" x14ac:dyDescent="0.25">
      <c r="A80" s="48">
        <v>2923</v>
      </c>
      <c r="B80" s="3">
        <v>2528.17</v>
      </c>
      <c r="C80">
        <f t="shared" si="6"/>
        <v>2528.17</v>
      </c>
      <c r="D80" s="3">
        <f t="shared" si="7"/>
        <v>2528.17</v>
      </c>
      <c r="E80" s="3">
        <f t="shared" si="8"/>
        <v>2332.17</v>
      </c>
    </row>
    <row r="81" spans="1:5" ht="15.75" x14ac:dyDescent="0.25">
      <c r="A81" s="48">
        <v>2976</v>
      </c>
      <c r="B81" s="3">
        <v>2603.04</v>
      </c>
      <c r="C81">
        <f t="shared" si="6"/>
        <v>2603.04</v>
      </c>
      <c r="D81" s="3">
        <f t="shared" si="7"/>
        <v>2603.04</v>
      </c>
      <c r="E81" s="3">
        <f t="shared" si="8"/>
        <v>2407.04</v>
      </c>
    </row>
    <row r="82" spans="1:5" ht="15.75" x14ac:dyDescent="0.25">
      <c r="A82" s="48">
        <v>2993</v>
      </c>
      <c r="B82" s="3">
        <v>2650.3</v>
      </c>
      <c r="C82">
        <f t="shared" si="6"/>
        <v>2650.3</v>
      </c>
      <c r="D82" s="3">
        <f t="shared" si="7"/>
        <v>2650.3</v>
      </c>
      <c r="E82" s="3">
        <f t="shared" si="8"/>
        <v>2454.3000000000002</v>
      </c>
    </row>
    <row r="83" spans="1:5" ht="15.75" x14ac:dyDescent="0.25">
      <c r="A83" s="48">
        <v>2993</v>
      </c>
      <c r="B83" s="3">
        <v>2658.1</v>
      </c>
      <c r="C83">
        <f t="shared" si="6"/>
        <v>2658.1</v>
      </c>
      <c r="D83" s="3">
        <f t="shared" si="7"/>
        <v>2658.1</v>
      </c>
      <c r="E83" s="3">
        <f t="shared" si="8"/>
        <v>2462.1</v>
      </c>
    </row>
    <row r="84" spans="1:5" ht="15.75" x14ac:dyDescent="0.25">
      <c r="A84" s="48">
        <v>2999</v>
      </c>
      <c r="B84" s="3">
        <v>2710.06</v>
      </c>
      <c r="C84">
        <f t="shared" si="6"/>
        <v>2710.06</v>
      </c>
      <c r="D84" s="3">
        <f t="shared" si="7"/>
        <v>2710.06</v>
      </c>
      <c r="E84" s="3">
        <f t="shared" si="8"/>
        <v>2514.06</v>
      </c>
    </row>
    <row r="85" spans="1:5" ht="15.75" x14ac:dyDescent="0.25">
      <c r="A85" s="48">
        <v>2991</v>
      </c>
      <c r="B85" s="3">
        <v>2668.46</v>
      </c>
      <c r="C85">
        <f t="shared" si="6"/>
        <v>2668.46</v>
      </c>
      <c r="D85" s="3">
        <f t="shared" si="7"/>
        <v>2668.46</v>
      </c>
      <c r="E85" s="3">
        <f t="shared" si="8"/>
        <v>2472.46</v>
      </c>
    </row>
    <row r="86" spans="1:5" ht="15.75" x14ac:dyDescent="0.25">
      <c r="A86" s="48">
        <v>3015</v>
      </c>
      <c r="B86" s="3">
        <v>2649.06</v>
      </c>
      <c r="C86">
        <f t="shared" si="6"/>
        <v>2649.06</v>
      </c>
      <c r="D86" s="3">
        <f t="shared" si="7"/>
        <v>2649.06</v>
      </c>
      <c r="E86" s="3">
        <f t="shared" si="8"/>
        <v>2453.06</v>
      </c>
    </row>
    <row r="87" spans="1:5" ht="15.75" x14ac:dyDescent="0.25">
      <c r="A87" s="48">
        <v>3021</v>
      </c>
      <c r="B87" s="3">
        <v>2635.58</v>
      </c>
      <c r="C87">
        <f t="shared" si="6"/>
        <v>2635.58</v>
      </c>
      <c r="D87" s="3">
        <f t="shared" si="7"/>
        <v>2635.58</v>
      </c>
      <c r="E87" s="3">
        <f t="shared" si="8"/>
        <v>2439.58</v>
      </c>
    </row>
    <row r="88" spans="1:5" ht="15.75" x14ac:dyDescent="0.25">
      <c r="A88" s="48">
        <v>3032</v>
      </c>
      <c r="B88" s="3">
        <v>2658.51</v>
      </c>
      <c r="C88">
        <f t="shared" si="6"/>
        <v>2658.51</v>
      </c>
      <c r="D88" s="3">
        <f t="shared" si="7"/>
        <v>2658.51</v>
      </c>
      <c r="E88" s="3">
        <f t="shared" si="8"/>
        <v>2462.5100000000002</v>
      </c>
    </row>
    <row r="89" spans="1:5" ht="15.75" x14ac:dyDescent="0.25">
      <c r="A89" s="48">
        <v>3054</v>
      </c>
      <c r="B89" s="8">
        <v>2675.58</v>
      </c>
      <c r="C89">
        <f t="shared" si="6"/>
        <v>2675.58</v>
      </c>
      <c r="D89" s="3">
        <f t="shared" si="7"/>
        <v>2675.58</v>
      </c>
      <c r="E89" s="3">
        <f t="shared" si="8"/>
        <v>2479.58</v>
      </c>
    </row>
    <row r="90" spans="1:5" ht="15.75" x14ac:dyDescent="0.25">
      <c r="A90" s="48">
        <v>3173</v>
      </c>
      <c r="B90" s="3">
        <v>2675.58</v>
      </c>
      <c r="C90">
        <f t="shared" si="6"/>
        <v>2675.58</v>
      </c>
      <c r="D90" s="3">
        <f t="shared" si="7"/>
        <v>2675.58</v>
      </c>
      <c r="E90" s="3">
        <f t="shared" si="8"/>
        <v>2479.58</v>
      </c>
    </row>
    <row r="91" spans="1:5" ht="15.75" x14ac:dyDescent="0.25">
      <c r="A91" s="48">
        <v>3292</v>
      </c>
      <c r="B91" s="3">
        <v>2824.85</v>
      </c>
      <c r="C91">
        <f t="shared" si="6"/>
        <v>2824.85</v>
      </c>
      <c r="D91" s="3">
        <f t="shared" si="7"/>
        <v>2824.85</v>
      </c>
      <c r="E91" s="3">
        <f t="shared" si="8"/>
        <v>2628.85</v>
      </c>
    </row>
    <row r="92" spans="1:5" ht="15.75" x14ac:dyDescent="0.25">
      <c r="A92" s="48">
        <v>3432</v>
      </c>
      <c r="B92" s="3">
        <v>2927.54</v>
      </c>
      <c r="C92">
        <f t="shared" si="6"/>
        <v>2927.54</v>
      </c>
      <c r="D92" s="3">
        <f t="shared" si="7"/>
        <v>2927.54</v>
      </c>
      <c r="E92" s="3">
        <f t="shared" si="8"/>
        <v>2731.54</v>
      </c>
    </row>
    <row r="93" spans="1:5" ht="15.75" x14ac:dyDescent="0.25">
      <c r="A93" s="48">
        <v>3499</v>
      </c>
      <c r="B93" s="3">
        <v>3055.54</v>
      </c>
      <c r="C93">
        <f t="shared" si="6"/>
        <v>3055.54</v>
      </c>
      <c r="D93" s="3">
        <f t="shared" si="7"/>
        <v>3055.54</v>
      </c>
      <c r="E93" s="3">
        <f t="shared" si="8"/>
        <v>2859.54</v>
      </c>
    </row>
    <row r="94" spans="1:5" ht="15.75" x14ac:dyDescent="0.25">
      <c r="A94" s="48">
        <v>3428</v>
      </c>
      <c r="B94" s="3">
        <v>3134.77</v>
      </c>
      <c r="C94">
        <f t="shared" si="6"/>
        <v>3134.77</v>
      </c>
      <c r="D94" s="3">
        <f t="shared" si="7"/>
        <v>3134.77</v>
      </c>
      <c r="E94" s="3">
        <f t="shared" si="8"/>
        <v>2938.77</v>
      </c>
    </row>
    <row r="95" spans="1:5" ht="15.75" x14ac:dyDescent="0.25">
      <c r="A95" s="48">
        <v>3442</v>
      </c>
      <c r="B95" s="3">
        <v>3173.09</v>
      </c>
      <c r="C95">
        <f t="shared" si="6"/>
        <v>3173.09</v>
      </c>
      <c r="D95" s="3">
        <f t="shared" si="7"/>
        <v>3173.09</v>
      </c>
      <c r="E95" s="3">
        <f t="shared" si="8"/>
        <v>2977.09</v>
      </c>
    </row>
    <row r="96" spans="1:5" ht="15.75" x14ac:dyDescent="0.25">
      <c r="A96" s="48">
        <v>3447</v>
      </c>
      <c r="B96" s="3">
        <v>3178.23</v>
      </c>
      <c r="C96">
        <f t="shared" si="6"/>
        <v>3178.23</v>
      </c>
      <c r="D96" s="3">
        <f t="shared" si="7"/>
        <v>3178.23</v>
      </c>
      <c r="E96" s="3">
        <f t="shared" si="8"/>
        <v>2982.23</v>
      </c>
    </row>
    <row r="97" spans="1:5" ht="15.75" x14ac:dyDescent="0.25">
      <c r="A97" s="48">
        <v>3416</v>
      </c>
      <c r="B97" s="3">
        <v>3162.98</v>
      </c>
      <c r="C97">
        <f t="shared" si="6"/>
        <v>3162.98</v>
      </c>
      <c r="D97" s="3">
        <f t="shared" si="7"/>
        <v>3162.98</v>
      </c>
      <c r="E97" s="3">
        <f t="shared" si="8"/>
        <v>2966.98</v>
      </c>
    </row>
    <row r="98" spans="1:5" ht="15.75" x14ac:dyDescent="0.25">
      <c r="A98" s="21">
        <f>AVERAGE(A2:A97)*0.24</f>
        <v>746.03</v>
      </c>
      <c r="B98" s="21">
        <f>AVERAGE(B2:B97)*0.24</f>
        <v>737.47167499999989</v>
      </c>
      <c r="C98" s="21">
        <f>AVERAGE(C2:C97)*0.24</f>
        <v>717.93419999999981</v>
      </c>
      <c r="D98" s="21">
        <f>AVERAGE(D2:D97)*0.24</f>
        <v>727.70293749999973</v>
      </c>
      <c r="E98" s="21">
        <f>AVERAGE(E2:E97)*0.24</f>
        <v>680.6629375</v>
      </c>
    </row>
    <row r="99" spans="1:5" ht="15.75" x14ac:dyDescent="0.25">
      <c r="D99" s="21">
        <f>AVERAGE(D3:D98)*0.24</f>
        <v>720.99110734374983</v>
      </c>
    </row>
    <row r="100" spans="1:5" ht="15.75" x14ac:dyDescent="0.25">
      <c r="D100" s="21">
        <f>AVERAGE(D4:D99)*0.24</f>
        <v>714.31163511210912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Day Ahead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'Day Ahead'!Print_Area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2026-04-09T10:25:31Z</dcterms:modified>
</cp:coreProperties>
</file>